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31397" windowHeight="8066" tabRatio="447"/>
  </bookViews>
  <sheets>
    <sheet name="Sheet1" sheetId="1" r:id="rId1"/>
    <sheet name="Covno UI" sheetId="4" r:id="rId2"/>
    <sheet name="Sheet3" sheetId="3" r:id="rId3"/>
    <sheet name="Entities" sheetId="2" r:id="rId4"/>
    <sheet name="Sheet5" sheetId="5" r:id="rId5"/>
  </sheets>
  <functionGroups builtInGroupCount="18"/>
  <definedNames>
    <definedName name="_xlnm._FilterDatabase" localSheetId="0" hidden="1">Sheet1!$A$1:$L$100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6" i="1" l="1"/>
  <c r="A97" i="1" s="1"/>
  <c r="A98" i="1" s="1"/>
  <c r="A99" i="1" s="1"/>
  <c r="A3" i="1" l="1"/>
  <c r="A4" i="1" s="1"/>
  <c r="A5" i="1" s="1"/>
  <c r="A6" i="1" s="1"/>
  <c r="A7" i="1" s="1"/>
  <c r="A8" i="1" s="1"/>
  <c r="A9" i="1" s="1"/>
  <c r="A10" i="1" s="1"/>
  <c r="A11" i="1" s="1"/>
  <c r="A12" i="1" s="1"/>
  <c r="A13" i="1" s="1"/>
  <c r="A14" i="1" s="1"/>
  <c r="A15" i="1" s="1"/>
  <c r="A16" i="1" s="1"/>
  <c r="A17" i="1" s="1"/>
  <c r="A18" i="1" s="1"/>
  <c r="A19" i="1" l="1"/>
  <c r="A20" i="1" s="1"/>
  <c r="A21" i="1" s="1"/>
  <c r="A22" i="1" s="1"/>
  <c r="A23" i="1" s="1"/>
  <c r="A24" i="1" s="1"/>
  <c r="A25" i="1" s="1"/>
  <c r="A26" i="1" s="1"/>
  <c r="A27" i="1" s="1"/>
  <c r="A28" i="1" s="1"/>
  <c r="A29" i="1" s="1"/>
  <c r="A30" i="1" s="1"/>
  <c r="A31" i="1" s="1"/>
  <c r="A32" i="1" s="1"/>
  <c r="A33" i="1" s="1"/>
  <c r="A34" i="1" s="1"/>
  <c r="A35" i="1" l="1"/>
  <c r="A36" i="1" s="1"/>
  <c r="A37" i="1" s="1"/>
  <c r="A38" i="1" s="1"/>
  <c r="A39" i="1" s="1"/>
  <c r="A40" i="1" s="1"/>
  <c r="A41" i="1" s="1"/>
  <c r="A42" i="1" s="1"/>
  <c r="A43" i="1" s="1"/>
  <c r="A44" i="1" l="1"/>
  <c r="A45" i="1" s="1"/>
  <c r="A46" i="1" s="1"/>
  <c r="A47" i="1" s="1"/>
  <c r="A48" i="1" s="1"/>
  <c r="A49" i="1" s="1"/>
  <c r="A50" i="1" s="1"/>
  <c r="A51" i="1" s="1"/>
  <c r="A52" i="1" s="1"/>
  <c r="A53" i="1" l="1"/>
  <c r="A54" i="1" s="1"/>
  <c r="A55" i="1" s="1"/>
  <c r="A56" i="1" s="1"/>
  <c r="A57" i="1" s="1"/>
  <c r="A58" i="1" s="1"/>
  <c r="A59" i="1" s="1"/>
  <c r="A60" i="1" s="1"/>
  <c r="A61" i="1" s="1"/>
  <c r="A62" i="1" s="1"/>
  <c r="A63" i="1" s="1"/>
  <c r="A64" i="1" s="1"/>
  <c r="A65" i="1" s="1"/>
  <c r="A66" i="1" s="1"/>
  <c r="A67" i="1" l="1"/>
  <c r="A68" i="1" s="1"/>
  <c r="A69" i="1" s="1"/>
  <c r="A70" i="1" s="1"/>
  <c r="A71" i="1" l="1"/>
  <c r="A72" i="1" s="1"/>
  <c r="A73" i="1" s="1"/>
  <c r="A74" i="1" s="1"/>
  <c r="A75" i="1" s="1"/>
  <c r="A76" i="1" s="1"/>
  <c r="A77" i="1" s="1"/>
  <c r="A78" i="1" s="1"/>
  <c r="A79" i="1" s="1"/>
  <c r="A80" i="1" s="1"/>
  <c r="A81" i="1" s="1"/>
  <c r="A82" i="1" s="1"/>
  <c r="A83" i="1" l="1"/>
  <c r="A84" i="1" s="1"/>
  <c r="A85" i="1" s="1"/>
  <c r="A86" i="1" s="1"/>
  <c r="A87" i="1" s="1"/>
  <c r="A88" i="1" s="1"/>
  <c r="A89" i="1" s="1"/>
  <c r="A90" i="1" s="1"/>
  <c r="A91" i="1" s="1"/>
  <c r="A92" i="1" s="1"/>
  <c r="A93" i="1" s="1"/>
  <c r="A94" i="1" s="1"/>
  <c r="A95" i="1" s="1"/>
  <c r="A1" i="5"/>
  <c r="A2" i="5" s="1"/>
  <c r="A3" i="5" s="1"/>
  <c r="A4" i="5" s="1"/>
  <c r="A5" i="5" s="1"/>
  <c r="A6" i="5" s="1"/>
  <c r="A7" i="5" s="1"/>
  <c r="A8" i="5" s="1"/>
</calcChain>
</file>

<file path=xl/sharedStrings.xml><?xml version="1.0" encoding="utf-8"?>
<sst xmlns="http://schemas.openxmlformats.org/spreadsheetml/2006/main" count="768" uniqueCount="440">
  <si>
    <t>Id</t>
  </si>
  <si>
    <t>Category</t>
  </si>
  <si>
    <t>Name</t>
  </si>
  <si>
    <t>Header</t>
  </si>
  <si>
    <t>Large header</t>
  </si>
  <si>
    <t>Image</t>
  </si>
  <si>
    <t>LargeHeader.png</t>
  </si>
  <si>
    <t>Requirements</t>
  </si>
  <si>
    <t>Data</t>
  </si>
  <si>
    <t>Page Section</t>
  </si>
  <si>
    <t>General</t>
  </si>
  <si>
    <t>Featured Products and Solutions</t>
  </si>
  <si>
    <t>TBD</t>
  </si>
  <si>
    <t>FeaturedProductsAndSolutions.png</t>
  </si>
  <si>
    <t>Insight Controls</t>
  </si>
  <si>
    <t>DynamicInsightQuilt.png</t>
  </si>
  <si>
    <t>Insight Card</t>
  </si>
  <si>
    <t>InsightCardOptions.png</t>
  </si>
  <si>
    <t>Header Left Panel</t>
  </si>
  <si>
    <t>HeaderLeftPanel.png</t>
  </si>
  <si>
    <t>Allowed Controls</t>
  </si>
  <si>
    <t xml:space="preserve">Icon List
Flare List
</t>
  </si>
  <si>
    <t>Icon List</t>
  </si>
  <si>
    <t>IconList.png</t>
  </si>
  <si>
    <t>Flare List</t>
  </si>
  <si>
    <t>FlareList.png</t>
  </si>
  <si>
    <t>Lists</t>
  </si>
  <si>
    <t>Callouts</t>
  </si>
  <si>
    <t>Key Action Big Callout</t>
  </si>
  <si>
    <t>KeyActionBigCallout.png</t>
  </si>
  <si>
    <t>Brand Grid Dynamic</t>
  </si>
  <si>
    <t>Brand Grid Static</t>
  </si>
  <si>
    <t>BrandGridDynamic.png</t>
  </si>
  <si>
    <t>BrandGridStatic.png</t>
  </si>
  <si>
    <t>Medium Header</t>
  </si>
  <si>
    <t>MediumHeader.png</t>
  </si>
  <si>
    <t>See Large Header</t>
  </si>
  <si>
    <t>PageSection.png</t>
  </si>
  <si>
    <t>Product Card List</t>
  </si>
  <si>
    <t>ProductCardList.png</t>
  </si>
  <si>
    <t>Need Info</t>
  </si>
  <si>
    <t>x</t>
  </si>
  <si>
    <t>Card</t>
  </si>
  <si>
    <t>Product Card</t>
  </si>
  <si>
    <t>Data:
- Image
- Link
- Link Text
- Description
- Features
- ChildItems: List of Links to Brand specific product pages.
- Checkbox to hide "See Product Details Section"</t>
  </si>
  <si>
    <t>ProductCard.png</t>
  </si>
  <si>
    <t>Solution Card</t>
  </si>
  <si>
    <t>Solution Card List</t>
  </si>
  <si>
    <t>SolutionCardList.png</t>
  </si>
  <si>
    <t>SolutionCard.png</t>
  </si>
  <si>
    <t>Data:
Image
Title
Link
Description
Tag Selections</t>
  </si>
  <si>
    <t>ServiceOfferingList.png</t>
  </si>
  <si>
    <t>Page Category and Offering Section</t>
  </si>
  <si>
    <t>PageCategoryAndOfferingSection.png</t>
  </si>
  <si>
    <t xml:space="preserve">Single Placeholder that allow 4 different types of 5 different types of sublayouts.  </t>
  </si>
  <si>
    <t>Page Section Sublayout</t>
  </si>
  <si>
    <t>Page Category and Offering Section 6x6 Sublayout</t>
  </si>
  <si>
    <t>Page Category and Offering Section 8x4 Sublayout</t>
  </si>
  <si>
    <t>Page Category and Offering Section 4x8 Sublayout</t>
  </si>
  <si>
    <t>Page Category and Offering Section 12 Sublayout</t>
  </si>
  <si>
    <t>Page Category and Offering Section 4x4x4 Sublayout</t>
  </si>
  <si>
    <t>Sublayout Control that only allows Category and Offering Cards to be added.  
CSS for the card should all the card to flex.</t>
  </si>
  <si>
    <t>Category and Offering Card</t>
  </si>
  <si>
    <t>CategoryAndOfferingCard.png</t>
  </si>
  <si>
    <t>Currated Control</t>
  </si>
  <si>
    <t>WhereToBuy.png</t>
  </si>
  <si>
    <t>Upcoming Events</t>
  </si>
  <si>
    <t>UpcomingEvents.png</t>
  </si>
  <si>
    <t>Location Finder Callout</t>
  </si>
  <si>
    <t>LocationFinderCallout.png</t>
  </si>
  <si>
    <t xml:space="preserve">This uses the google maps type ahead.  Once selected, and the user clicks find location, 
the user is taken to the location finder page, with the lat/long already set. </t>
  </si>
  <si>
    <t>Filtered Product Card List</t>
  </si>
  <si>
    <t>FilteredProductCardList.png</t>
  </si>
  <si>
    <t>Data:
 - Title
 - Subtitle
 - Show Description (Checkbox)
 - Brands = A selection of brands from the global brand list.</t>
  </si>
  <si>
    <t>Partner Finder</t>
  </si>
  <si>
    <t>Small Header</t>
  </si>
  <si>
    <t>SmallHeader.png</t>
  </si>
  <si>
    <t xml:space="preserve">If 1 logo, show 3 column, put in first
If 2 logos, show 3 column, put in first and second
If 4 logos, show 4 columns,
If 5 logos, show 5 columns,
If 6 logos, show 2 rows of 3,
If 7 logos, show 2 rows of 4, (minus 1)
If 8 logos, show 2 rows of 4
If 9 logos, show 2 rows of 5, (minus 1)
If 10 logos, show 2 rows of 5
If &gt; 10 leave at 5 per row
Full Width Control: Yes
Personalization: Yes
This should use the same dynamic datasource from previous controls. 
Brands need to be tagged. 
This dynamic control will perform the and/or operation on selected tags to pull in brand dynamically.   
Logos link to brand sites. 
Logos pop out a bit when hovered over.
Will have optional description show.  Description comes from the Brand definition. 
Background Color should be controlled via a theme drop down selection. </t>
  </si>
  <si>
    <t>Small Key Action Callout</t>
  </si>
  <si>
    <t>SmallKeyActionCallout.png</t>
  </si>
  <si>
    <t>Tab Control</t>
  </si>
  <si>
    <t>TabControl.png</t>
  </si>
  <si>
    <t>CompositeContentCard.png</t>
  </si>
  <si>
    <t>Composite Content Card</t>
  </si>
  <si>
    <t>Key Metric Callout</t>
  </si>
  <si>
    <t>KeyMetricCallout.png</t>
  </si>
  <si>
    <t>Insights Rollup</t>
  </si>
  <si>
    <t>InsightsRollup.png</t>
  </si>
  <si>
    <t>Text List Rollup</t>
  </si>
  <si>
    <t>TextListRollup.png</t>
  </si>
  <si>
    <t>Expert Callout</t>
  </si>
  <si>
    <t>ExpertCallout.png</t>
  </si>
  <si>
    <t>Richtext5x7.png</t>
  </si>
  <si>
    <t>Richtext5x7</t>
  </si>
  <si>
    <t>Page</t>
  </si>
  <si>
    <t>ImageLeftContentRightWide.png</t>
  </si>
  <si>
    <t>Image Left Content Right Wide</t>
  </si>
  <si>
    <t>Text Table</t>
  </si>
  <si>
    <t>TextTable.png</t>
  </si>
  <si>
    <t>Page Specific</t>
  </si>
  <si>
    <t>Location Page Content</t>
  </si>
  <si>
    <t>LocationPageContent.png</t>
  </si>
  <si>
    <t>PromoBoxFeaturedStoryCard.png</t>
  </si>
  <si>
    <t>PromoBoxFeaturedWebinarCard.png</t>
  </si>
  <si>
    <t>PromoBoxFeaturedEventCard.png</t>
  </si>
  <si>
    <t>PromoBox.png</t>
  </si>
  <si>
    <t>Promo Box Featured Story Card</t>
  </si>
  <si>
    <t>Promo Box Featured Webinar Card</t>
  </si>
  <si>
    <t>Promo Box Featured Event Card</t>
  </si>
  <si>
    <t>Promo Box</t>
  </si>
  <si>
    <t>Case Study List</t>
  </si>
  <si>
    <t>CaseStudyList.png</t>
  </si>
  <si>
    <t>Event Filters And List</t>
  </si>
  <si>
    <t>EventFiltersAndList.png</t>
  </si>
  <si>
    <t>Brands</t>
  </si>
  <si>
    <t>Experts</t>
  </si>
  <si>
    <t>Events</t>
  </si>
  <si>
    <t>Headers</t>
  </si>
  <si>
    <t>Event Detail Header</t>
  </si>
  <si>
    <t>EventDetailHeader.png</t>
  </si>
  <si>
    <t>Event Detail Panel</t>
  </si>
  <si>
    <t>EventDetailPanel.png</t>
  </si>
  <si>
    <t>Insight List</t>
  </si>
  <si>
    <t>InsightList.png</t>
  </si>
  <si>
    <t>Image Gallery</t>
  </si>
  <si>
    <t>ImageGallery.png</t>
  </si>
  <si>
    <t>Insight Rich Text</t>
  </si>
  <si>
    <t>InsightRichText.png</t>
  </si>
  <si>
    <t xml:space="preserve">List of bullets.  This should be structured if used.  Authors could also use rich text. </t>
  </si>
  <si>
    <t>Insight About The Author</t>
  </si>
  <si>
    <t>InsightAboutTheAuthor.png</t>
  </si>
  <si>
    <t>Will Tyco use PRNewswire?</t>
  </si>
  <si>
    <t>Is JCI still using PRNewswire?</t>
  </si>
  <si>
    <t>Inisght By Line</t>
  </si>
  <si>
    <t>Insight At A Glance</t>
  </si>
  <si>
    <t>InsightAtAGlance.png</t>
  </si>
  <si>
    <t>Insight Data Callout</t>
  </si>
  <si>
    <t>InsightDataCallout.png</t>
  </si>
  <si>
    <t>Video Button</t>
  </si>
  <si>
    <t>VideoButton.png</t>
  </si>
  <si>
    <t>InsightsExploreRelatedTopics.png</t>
  </si>
  <si>
    <t>Insights Explore Related Topics</t>
  </si>
  <si>
    <t xml:space="preserve">General </t>
  </si>
  <si>
    <t>Video Display</t>
  </si>
  <si>
    <t>VideoDisplay.png</t>
  </si>
  <si>
    <t>Resuse from existing video control?</t>
  </si>
  <si>
    <t>Insights Data Callout Small</t>
  </si>
  <si>
    <t>InsightDataCalloutSmall.png</t>
  </si>
  <si>
    <t>Insight Header</t>
  </si>
  <si>
    <t>InsightHeader.png</t>
  </si>
  <si>
    <t>InsightByLine.png</t>
  </si>
  <si>
    <t>InsightSummary.png</t>
  </si>
  <si>
    <t>Insight Summary</t>
  </si>
  <si>
    <t>Insight Sublayout</t>
  </si>
  <si>
    <t>InsightSublayout.png</t>
  </si>
  <si>
    <t>Insight Highlight</t>
  </si>
  <si>
    <t>InsightHighlight.png</t>
  </si>
  <si>
    <t>Insight Section</t>
  </si>
  <si>
    <t>InsightSection.png</t>
  </si>
  <si>
    <t>Data:
Eyebrow (SLT)
Title (SLT)
Text  (Rich Text)</t>
  </si>
  <si>
    <t>Newsletter Preferences</t>
  </si>
  <si>
    <t>NewsletterPreferences.png</t>
  </si>
  <si>
    <t>Local Page</t>
  </si>
  <si>
    <t>Event Landing</t>
  </si>
  <si>
    <t>Event Detail</t>
  </si>
  <si>
    <t>Insight</t>
  </si>
  <si>
    <t>Insights</t>
  </si>
  <si>
    <t>Newsletter Preference</t>
  </si>
  <si>
    <t>Full Width</t>
  </si>
  <si>
    <t>Personalization</t>
  </si>
  <si>
    <t>Yes</t>
  </si>
  <si>
    <t>Via OOTB Datasource</t>
  </si>
  <si>
    <t>No</t>
  </si>
  <si>
    <t>If there is no link, do not show the button.
Anchor Bar should be fixed at the top when you scroll down the page.
If no background image is set, use the default background color.  
Convo UI is not applicable here.</t>
  </si>
  <si>
    <t>The text below the h1 will need to be normalized.</t>
  </si>
  <si>
    <t>Design Questions/Notes</t>
  </si>
  <si>
    <t>Dev Notes</t>
  </si>
  <si>
    <t>Anchor Bar</t>
  </si>
  <si>
    <t>AnchorBar.png</t>
  </si>
  <si>
    <t>Anchor</t>
  </si>
  <si>
    <t xml:space="preserve">This will be a rendering that simply renderings an anchor on the page.  It is to be used in conjunction with the anchor bar and will contain the anchor the anchor bar should link to. </t>
  </si>
  <si>
    <t xml:space="preserve">Anchor Bar Data
 - CTA Link
 - CTA Text
Anchor Bar Child Data
 - Title
 - Anchor Name
</t>
  </si>
  <si>
    <t xml:space="preserve">Anchor bar should be fixed position top when the scroll meets the top of the bar.  As the user scrolls back up, the anchor bar should return to place.  Clicking on the CTA will take the user to the appropriate linked page. </t>
  </si>
  <si>
    <t>Should this always go to the contact us page?</t>
  </si>
  <si>
    <t xml:space="preserve">Header Data 
 - Eyebrow
 - Title  (this is an h1)
 - Text
 - Wrap Title Flag 
 - CTA Link
 - CTA Text
 - Background Image
 - Button Color
 - Sidebar Color
 - Text Color
 - Background Color
</t>
  </si>
  <si>
    <t>Page Section Data 
 - Eyebrow
 - Title  (this is an h2)
 - Text
 - Wrap Title Flag 
 - CTA Link
 - CTA Text
 - Background Image
 - Button Color
 - Sidebar Color
 - Text Color
 - Background Color</t>
  </si>
  <si>
    <t>Top Part: 
 - Content authors create 1 or 2 lists.
 - The content author should choose the display type for each column. 
 - 2 cols, 2 cols or 4 cols (the entire width) for the first list.  
Bottom Part:
 - Content authors create 1 or 2 lists 
 - The content author should choose the display type for each column.  
 - 1 col, 3 cols or 2 cols,2cols or 3 cols, 1 cols or 4 cols (the entire width)</t>
  </si>
  <si>
    <t>Insight Quilt Dynamic</t>
  </si>
  <si>
    <t>Insight Quilt Static</t>
  </si>
  <si>
    <t>Themes</t>
  </si>
  <si>
    <t>Full Width Control: No
Will be personalized? Yes
Content Author enters the header title, link text, and link. 
Add room for another call to action on the header.  
Content author chooses the color theme for the rendering.  (Black, Blue, Green)
If the insight page does not have a “page image”, display the theme’s default background image.
Need to create a separate list of “themes” for this. 
Control should restrict searches to insight only templates, no future webinars (only past), no events.
Control should be based on the Dynamic Page List
Control should allow content authors to choose tags and should just be “and” for the tag evaluation.  
Insight Template should have a “Has Video” checkbox.  If selected, show the video overlay. 
Any Insight can have an author selected for it.
Need an author list and allow authors to choose that.  
Add in 2 default links:  1 link and dictionary entry to the insights page. 
1 links and dictionary entry to the subscriptions page.  
Allow Content Author to turn those off and add custom links as children to this control. 
Data: Tags</t>
  </si>
  <si>
    <t xml:space="preserve">Same as dynamic only do not do searching.  Author should choose the insights. </t>
  </si>
  <si>
    <t>Gated Content Form?</t>
  </si>
  <si>
    <t>Author</t>
  </si>
  <si>
    <t>Entitye</t>
  </si>
  <si>
    <t>Fields</t>
  </si>
  <si>
    <t>Has Video
Author Choice</t>
  </si>
  <si>
    <t xml:space="preserve">If the insight has a "Has Video" checked, show the video overlay
Show the content type tag first, then industry or offering
Show an author is an author is selected on the insight.
If no image, show them background image. Do not show video icon in this case. 
</t>
  </si>
  <si>
    <t xml:space="preserve">Note the gray drop shadow.  </t>
  </si>
  <si>
    <t>RelatedPages4Up.png</t>
  </si>
  <si>
    <t>Page List</t>
  </si>
  <si>
    <t>Page List From Tags</t>
  </si>
  <si>
    <r>
      <t xml:space="preserve">Full Width Control: No
Personalization: No
The list should allow for a title and a description.  
If Static, the author creates the cards individually.  
Use the page image as the image, navigation title, and page summary.
Link should be image and title.  
Give option to link to external url.   
Background Color should be an option to set on this
Client requested that we just update the related pages by tag and related pages by curation controls they currently have.
Reuse the Page List and Page List from Tags control.  
</t>
    </r>
    <r>
      <rPr>
        <sz val="8"/>
        <color rgb="FFFF0000"/>
        <rFont val="Calibri"/>
        <family val="2"/>
        <scheme val="minor"/>
      </rPr>
      <t xml:space="preserve">Revisit why an internal and external callout is needed. </t>
    </r>
  </si>
  <si>
    <t xml:space="preserve">Data:
 - Title
 - Link
 - Link Text
 - Link
 - Link is download (checkbox)
 - Button Text
 - Button Link
 - Background Image
 - Image Alignment - author to choose right or left. </t>
  </si>
  <si>
    <t xml:space="preserve">If 1 logo, show 3 column, put in first
If 2 logos, show 3 column, put in first and second
If 4 logos, show 4 columns,
If 5 logos, show 5 columns,
If 6 logos, show 2 rows of 3,
If 7 logos, show 2 rows of 4, (minus 1)
If 8 logos, show 2 rows of 4
If 9 logos, show 2 rows of 5, (minus 1)
If 10 logos, show 2 rows of 5
If &gt; 10 leave at 5 per row
Full Width Control: Yes
Personalization: Yes
Logos link to brand sites. 
Logos pop out a bit when hovered over.
Will have optional description show.  Description comes from the Brand definition.  Added a field for custom description.  If show custom description is checked, the brand description will not show. 
Background Color should be controlled via a theme drop down selection. </t>
  </si>
  <si>
    <t>Data:
 - Title
 - Subtitle
 - Description
 - Show Custom Description (Checkbox) ( for use with description copy)
 - Brands = A selection of brands from the global brand list.</t>
  </si>
  <si>
    <t>Revisit</t>
  </si>
  <si>
    <t xml:space="preserve">Data:
 - Background Image
 - Title
 - Description
 - Text Color
 - Background Color
Placeholder Allowed Renderings:
 - Solution Card List
- Product Card List
</t>
  </si>
  <si>
    <t>None needed here</t>
  </si>
  <si>
    <t xml:space="preserve">Allow ability to choose the background theme.  
This is the same controls as the flare. 
This background should go under the above control.  
See this: https://rightpoint.invisionapp.com/share/5WIAP1AN9DS#/screens/296023779_Tyco-L1-Product-Img-Img
</t>
  </si>
  <si>
    <r>
      <t xml:space="preserve">Data:
Eyebrow
H2
Background Color: Drop down of theme options 
Extend Background Up (checkbox)  
</t>
    </r>
    <r>
      <rPr>
        <sz val="8"/>
        <color rgb="FFFF0000"/>
        <rFont val="Calibri"/>
        <family val="2"/>
        <scheme val="minor"/>
      </rPr>
      <t xml:space="preserve">What are the options?
</t>
    </r>
    <r>
      <rPr>
        <sz val="8"/>
        <rFont val="Calibri"/>
        <family val="2"/>
        <scheme val="minor"/>
      </rPr>
      <t>Childitems should be the same as the flare list child items.</t>
    </r>
  </si>
  <si>
    <t>Data:
Image
Link Title
Link
Description
Link Section Title
Child List of Links</t>
  </si>
  <si>
    <t>Data:
Title
Title Linnk
Text
CTA Text
CTA Link</t>
  </si>
  <si>
    <t>Convo UI</t>
  </si>
  <si>
    <t>Contact Form</t>
  </si>
  <si>
    <t>Webinar</t>
  </si>
  <si>
    <t>Same rules/data as the large header.</t>
  </si>
  <si>
    <t>Placeholder only allows rendering of type: 
Featured Products and Solutions, 
Content Link List,
Overview</t>
  </si>
  <si>
    <t>Data:
Title
CTA Text
CTA Link</t>
  </si>
  <si>
    <t>Composite Content Card
Key Metric Callout</t>
  </si>
  <si>
    <t>Data:
Title
Text
Link List Title
Children are a list of links.</t>
  </si>
  <si>
    <t xml:space="preserve">Data:
Item is tab control
Child Item is tab
Tab has a title on it.  The rendering for it has a dynamic placeholder.  Or could use the header method. </t>
  </si>
  <si>
    <t>The card (right) portion of the control should be a placeholder and allow for a Solution Card, Product Card, Generic Callout</t>
  </si>
  <si>
    <t>Data:
Title
Symbol (show's after number and from a drop down selection.  Can be blank)
Text</t>
  </si>
  <si>
    <t>Data:
Title
Link Title
Tags</t>
  </si>
  <si>
    <t xml:space="preserve">Use the same rules as the solution card in regards to personalization.  </t>
  </si>
  <si>
    <t xml:space="preserve">Use the same rules as the solution card in regards to personalization.  
Display rules: Every other card has the white theme.  
The other cards should randomly choose between the blue and black theme. 
Use the tagging mechanism like the solutions card with the inclusion of the facet.  </t>
  </si>
  <si>
    <t>Data:  Choose Expert - this would bring in the image, name, job title
Text
CTA Link
CTA Text</t>
  </si>
  <si>
    <t>Data: 
Title Left
Title Right
Text Left
Text Right</t>
  </si>
  <si>
    <t>Data:
Image
Eyebrow
Title
Text
CTA Link
CTA Text</t>
  </si>
  <si>
    <t>Data:  
Title
Children: Title, Left Rich Text, Center Rich Text, Right Rich Text</t>
  </si>
  <si>
    <t xml:space="preserve">Author chooses any webinar.  </t>
  </si>
  <si>
    <t xml:space="preserve">Author chooses any event. </t>
  </si>
  <si>
    <t>Pull relevant data from the content type</t>
  </si>
  <si>
    <t>Data: Image</t>
  </si>
  <si>
    <t xml:space="preserve">Targets Case Studies Only
Use the same rules as the solution card in regards to personalization.  </t>
  </si>
  <si>
    <t>When a webinar is upcoming, it should show in the events listing.  When a webinar has passed, it should show as an insight only.  
When an event is upcoming, it should show in the events listing.  When an event has passed, it should show only when the date picker is moved in the past. 
Each Card shows the "type"  (webinar or event) first, then the first tag applied. 
https://rightpoint.invisionapp.com/share/NXKSVJOKFJT#/screens/302767086</t>
  </si>
  <si>
    <t xml:space="preserve">Use the same datasource as the large header. </t>
  </si>
  <si>
    <t xml:space="preserve">Show download icon on if there is a download associated with the event. 
Make sure there is a specific date field for the event.  
Display of the date should be text.  
Form:  The form area should be a placeholder.   The allowed controls for this should be a form control. 
If there is a registration link added to the event page, show the register button.  
If there is no registration link added to the event page, do not show the register button. 
Allow content author to change copy of the registration button. </t>
  </si>
  <si>
    <t xml:space="preserve">Filtering is the same as the event's page.  Possibly use coveo for this.  
Default order should be based on date.  
Use the same rules as the Insight Callout for display. </t>
  </si>
  <si>
    <t xml:space="preserve">Gallery should consist of Gallery Items
Gallery Item has:  
Title
Image
Caption
Video Selection from the children below.  (if selected, open the video in the appropriate container when the image is clicked. )
Child item of the gallery item should be a video type.  
</t>
  </si>
  <si>
    <t xml:space="preserve">Data:
Title
Section 1 Title
Section 1 Text
Section 2 Title
Section 2 Text
Section 3 Title
Section 3 Text
Show Inset (Checkbox)
Inset Data (Choose an inset item from it's children)
</t>
  </si>
  <si>
    <t>Be flexible</t>
  </si>
  <si>
    <t>Pop Open Video On Click</t>
  </si>
  <si>
    <t>Be flexible, figure out a more flexible solution for the insight data callout.</t>
  </si>
  <si>
    <t>Single Line Text</t>
  </si>
  <si>
    <t xml:space="preserve">Not sure how this will work.  </t>
  </si>
  <si>
    <t>Tyco Homepage</t>
  </si>
  <si>
    <t>JCI Homepage</t>
  </si>
  <si>
    <t>Alerts</t>
  </si>
  <si>
    <t>Navigation</t>
  </si>
  <si>
    <t>Cookie Disclaimer</t>
  </si>
  <si>
    <t>Privacy Settings</t>
  </si>
  <si>
    <t>Page of Logins</t>
  </si>
  <si>
    <t>Search Results</t>
  </si>
  <si>
    <t>Question</t>
  </si>
  <si>
    <t>Option Set</t>
  </si>
  <si>
    <t>Industry</t>
  </si>
  <si>
    <t>Option</t>
  </si>
  <si>
    <t>Healthcare</t>
  </si>
  <si>
    <t>Hospitality</t>
  </si>
  <si>
    <t>Industrial &amp; Manufacturing</t>
  </si>
  <si>
    <t>Marine</t>
  </si>
  <si>
    <t>Mining</t>
  </si>
  <si>
    <t>Oil &amp; Gas</t>
  </si>
  <si>
    <t>Public and Affordable Housing</t>
  </si>
  <si>
    <t>Residential</t>
  </si>
  <si>
    <t>Retail</t>
  </si>
  <si>
    <t>Sports &amp; Entertainment</t>
  </si>
  <si>
    <t>Transportation &amp; Logistics</t>
  </si>
  <si>
    <t>Area</t>
  </si>
  <si>
    <t>Security</t>
  </si>
  <si>
    <t>Options Set</t>
  </si>
  <si>
    <t xml:space="preserve">Question </t>
  </si>
  <si>
    <t>Building Automation &amp; Controls</t>
  </si>
  <si>
    <t>Fire Detection</t>
  </si>
  <si>
    <t>Fire Supression</t>
  </si>
  <si>
    <t>Energy Storage</t>
  </si>
  <si>
    <t>HVAC</t>
  </si>
  <si>
    <t>Industrial Refrigeration</t>
  </si>
  <si>
    <t>Internet of Buildings</t>
  </si>
  <si>
    <t>Retail Solutions</t>
  </si>
  <si>
    <t>Coveo work and css changes.</t>
  </si>
  <si>
    <t>List of blocks</t>
  </si>
  <si>
    <t>Have a wire</t>
  </si>
  <si>
    <t>css touch ups</t>
  </si>
  <si>
    <t>Phil to add</t>
  </si>
  <si>
    <t>Header control</t>
  </si>
  <si>
    <t>css updates to contact us page</t>
  </si>
  <si>
    <t>Added as part of the convo ui</t>
  </si>
  <si>
    <t>big effort</t>
  </si>
  <si>
    <t>Gated Content Form/Premium Content</t>
  </si>
  <si>
    <t>Sona to look at it</t>
  </si>
  <si>
    <t>Homepage Banner</t>
  </si>
  <si>
    <t>HomepageBanner.png</t>
  </si>
  <si>
    <t>Homepage</t>
  </si>
  <si>
    <t>Homepage Topic Card</t>
  </si>
  <si>
    <t>Homepage Topic Section</t>
  </si>
  <si>
    <t>HomepageTopicSection.png</t>
  </si>
  <si>
    <t xml:space="preserve">Need to create a placeholder for this control.  In that placeholder, we need to allow a 8x4, 4x8 sublayout that only allows Homepage Topic Cards to be entered into those.  </t>
  </si>
  <si>
    <t>HomepageTopicCard.png</t>
  </si>
  <si>
    <t>Data:
Eyebrow
Title</t>
  </si>
  <si>
    <t>Data:
Image
Title
Text</t>
  </si>
  <si>
    <t>Homepage News Reel</t>
  </si>
  <si>
    <t>HomepageNewsReel.png</t>
  </si>
  <si>
    <t xml:space="preserve">This will need to pull in the latest new automatically.  We can leverage the current news control and change the UI. </t>
  </si>
  <si>
    <t>Big Promo Box</t>
  </si>
  <si>
    <t>BigPromoBox.png</t>
  </si>
  <si>
    <t xml:space="preserve">Use the same featured tiles as the promo box.  </t>
  </si>
  <si>
    <t>Data:
Image
Children of Data Points
Data Points:
X Pos
Y Pos
Text</t>
  </si>
  <si>
    <t>ConvoUI.png</t>
  </si>
  <si>
    <t>All</t>
  </si>
  <si>
    <t xml:space="preserve">Use Large Header Data source.  This should allow for 1 to many images to click through.  
Should have the convo ui control built in.  </t>
  </si>
  <si>
    <t xml:space="preserve">Will need to create a Convo UI form, Convo UI button for pages that do not have the homepage banner.  </t>
  </si>
  <si>
    <t>Yes, via code</t>
  </si>
  <si>
    <t>CookieDisclaimer.png</t>
  </si>
  <si>
    <t xml:space="preserve">1. The Privacy Policy Bar is there to all the user to agree to the storing of cookies or to change how the cookies are actually stored on the site.  
2. The user will have to click the Agree button or choose change settings to modify how information is stored about them. 
1. Desktop
  a. The content section will have 3 parts, the title, the description and the link to the full privacy policy.  
  b. Clicking agree, hides the privacy policy.  It also sets an internal cookie to store all cookies. 
  c. Change settings, when clicked, will display an overlay that will provide the user more options
  d. Overlay: TBD
2. Mobile
  a. On mobile, the Agree button and change settings link wrap. 
3. Other
  a. Show on every page
  b. Shows immediately and should continue to show until you hit agree.
  c. Sticky at the bottom of the screen.  Fixed position, bottom, until agree.  
  d. When I click “Change Settings” an overlay pops up.  
  e. Overlay is TBD as of 6/5/2018.
The cookie disclaimer items have been added to the Feature -&gt; Navigation Section. 
The cookie disclaimer content will be added a backing item using the header and footer presentation inversion method. 
A package has been created with the proper configuration for this feature: 
The cookie disclaimer should be created a controller rendering.  The methods by which to throttle to the cookie usage on the site is TBD. 
Renderings:
Renderings Needed: Cookie Disclaimer
The cookie disclaimer summary and expansion should be in 1 single rendering.  
</t>
  </si>
  <si>
    <t>Global Alerts Banner</t>
  </si>
  <si>
    <t>GlobalAlertsBanner.png</t>
  </si>
  <si>
    <t xml:space="preserve">Global alert is used when an author needs to present content to the user that is of high importance and must be dismissed. 
• Show on every page.
• Shows when the content author enables the alert. 
• Hide when the content author disabled the alert.
• When the user clicks the “x” cookie the selection and do not show for that user.  
• Tech Question: Need to determine how to make updates for a “new” alert, so that if a user dismisses an alert, the new alert will show for me.  
</t>
  </si>
  <si>
    <t>Main Nav - Header.docx</t>
  </si>
  <si>
    <t>Main Nav - Footer.docx</t>
  </si>
  <si>
    <t>See Document Attached</t>
  </si>
  <si>
    <t>Footer</t>
  </si>
  <si>
    <t>Brand Bar</t>
  </si>
  <si>
    <t>Main Nav - Brand Bar.docx</t>
  </si>
  <si>
    <t>Search Overlay</t>
  </si>
  <si>
    <t>Main Nav - Search Overlay.docx</t>
  </si>
  <si>
    <t>Convo UI Contact Form</t>
  </si>
  <si>
    <t>Contact Form configuration will be need.  Default an override approach?</t>
  </si>
  <si>
    <t>Content Panel</t>
  </si>
  <si>
    <t>Industry Page</t>
  </si>
  <si>
    <t>Events Landing</t>
  </si>
  <si>
    <t>Insights Landing</t>
  </si>
  <si>
    <t>See Document Attached - Need to confirm full country selector page</t>
  </si>
  <si>
    <t>See Document Attached - Need to add Tyco new footer</t>
  </si>
  <si>
    <t>Links</t>
  </si>
  <si>
    <t xml:space="preserve"> </t>
  </si>
  <si>
    <t>https://rightpoint.invisionapp.com/share/R7MAWVNWSPV#/screens/306731209</t>
  </si>
  <si>
    <t>Interaction Notes</t>
  </si>
  <si>
    <t xml:space="preserve">https://rightpoint.invisionapp.com/share/R7MAWVNWSPV#/screens/306731210 </t>
  </si>
  <si>
    <t xml:space="preserve">https://rightpoint.invisionapp.com/share/R7MAWVNWSPV#/screens/306505796 </t>
  </si>
  <si>
    <t xml:space="preserve">https://rightpoint.invisionapp.com/share/R7MAWVNWSPV#/screens/306507838 </t>
  </si>
  <si>
    <t>Button at right is correct - let's keep &amp; build toward that. When / if we reach overflow, need design solve. Move to mobile approach, or swipe in?</t>
  </si>
  <si>
    <t>The bottom example with "Featured Solutions &amp; Products" is no longer relevant. Keep split headers for featured solutions and featurd products. 
Interaction notes: Clicking the "Show all" now expands downward.</t>
  </si>
  <si>
    <t xml:space="preserve">https://rightpoint.invisionapp.com/share/R7MAWVNWSPV#/screens/306507840 </t>
  </si>
  <si>
    <t xml:space="preserve">https://rightpoint.invisionapp.com/share/R7MAWVNWSPV#/screens/306507851 </t>
  </si>
  <si>
    <t xml:space="preserve">https://rightpoint.invisionapp.com/share/R7MAWVNWSPV#/screens/306507845 </t>
  </si>
  <si>
    <t xml:space="preserve">https://rightpoint.invisionapp.com/share/R7MAWVNWSPV#/screens/306507651 </t>
  </si>
  <si>
    <t>Note that there is a 3-up and 4-up version of this Page List. Leverage 3-up for L1 page.</t>
  </si>
  <si>
    <r>
      <t xml:space="preserve">Full Width Control: No
Personalization: No
If Dynamic, use the tags to choose content.
Use the page image as the image, navigation title, and page summary.  
Background Color should be an option to set on this
</t>
    </r>
    <r>
      <rPr>
        <sz val="8"/>
        <color rgb="FFFF0000"/>
        <rFont val="Calibri"/>
        <family val="2"/>
        <scheme val="minor"/>
      </rPr>
      <t xml:space="preserve">Revisit why an internal and external callout is needed. </t>
    </r>
  </si>
  <si>
    <t xml:space="preserve">https://rightpoint.invisionapp.com/share/R7MAWVNWSPV#/screens/306507852 </t>
  </si>
  <si>
    <t xml:space="preserve">https://rightpoint.invisionapp.com/share/R7MAWVNWSPV#/screens/308680602 </t>
  </si>
  <si>
    <t xml:space="preserve">https://rightpoint.invisionapp.com/share/R7MAWVNWSPV#/screens/306507451 </t>
  </si>
  <si>
    <t xml:space="preserve">https://rightpoint.invisionapp.com/share/R7MAWVNWSPV#/screens/306507849 </t>
  </si>
  <si>
    <t xml:space="preserve">https://rightpoint.invisionapp.com/share/R7MAWVNWSPV#/screens/306507836 </t>
  </si>
  <si>
    <t xml:space="preserve">https://rightpoint.invisionapp.com/share/R7MAWVNWSPV#/screens/306507835 </t>
  </si>
  <si>
    <t xml:space="preserve">https://rightpoint.invisionapp.com/share/R7MAWVNWSPV#/screens/306507853 </t>
  </si>
  <si>
    <t>Not yet added to library.  
Leverage styles from footer (button styles &amp; line color) to accomplish for JCI. 
Sticks to footer &amp; remains until cookes are "accepted"
FED Note: We are expecting more text than this, so allow cookie to grow as needed.</t>
  </si>
  <si>
    <t>Assigned to Heather - need to see.</t>
  </si>
  <si>
    <t>Expanding Callout</t>
  </si>
  <si>
    <t>ExpandingCallout.png</t>
  </si>
  <si>
    <t>On click anywhere in header area of module, expands downward or upward.</t>
  </si>
  <si>
    <t xml:space="preserve">https://rightpoint.invisionapp.com/share/R7MAWVNWSPV#/screens/306505795 </t>
  </si>
  <si>
    <t xml:space="preserve">https://rightpoint.invisionapp.com/share/R7MAWVNWSPV#/screens/306722249 </t>
  </si>
  <si>
    <r>
      <rPr>
        <b/>
        <sz val="9"/>
        <color theme="1"/>
        <rFont val="Calibri"/>
        <family val="2"/>
        <scheme val="minor"/>
      </rPr>
      <t>Johnson Controls:</t>
    </r>
    <r>
      <rPr>
        <sz val="9"/>
        <color theme="1"/>
        <rFont val="Calibri"/>
        <family val="2"/>
        <scheme val="minor"/>
      </rPr>
      <t xml:space="preserve">
https://rightpoint.invisionapp.com/share/M4LRK6827FU#/screens/305149648_JCI_Desktop_Nav-Default </t>
    </r>
  </si>
  <si>
    <t xml:space="preserve">https://rightpoint.invisionapp.com/share/R7MAWVNWSPV#/screens/308723409 </t>
  </si>
  <si>
    <t xml:space="preserve">https://rightpoint.invisionapp.com/share/R7MAWVNWSPV#/screens/308722905 </t>
  </si>
  <si>
    <t xml:space="preserve">https://rightpoint.invisionapp.com/share/R7MAWVNWSPV#/screens/308721722 </t>
  </si>
  <si>
    <t xml:space="preserve">https://rightpoint.invisionapp.com/share/R7MAWVNWSPV#/screens/308722629 </t>
  </si>
  <si>
    <t xml:space="preserve">https://rightpoint.invisionapp.com/share/R7MAWVNWSPV#/screens/308722487 </t>
  </si>
  <si>
    <t xml:space="preserve">https://rightpoint.invisionapp.com/share/R7MAWVNWSPV#/screens/308956363 </t>
  </si>
  <si>
    <t xml:space="preserve">https://rightpoint.invisionapp.com/share/R7MAWVNWSPV#/screens/306507649 </t>
  </si>
  <si>
    <t xml:space="preserve">https://rightpoint.invisionapp.com/share/R7MAWVNWSPV#/screens/306507843 </t>
  </si>
  <si>
    <t xml:space="preserve">https://rightpoint.invisionapp.com/share/R7MAWVNWSPV#/screens/308721293 </t>
  </si>
  <si>
    <t xml:space="preserve">https://rightpoint.invisionapp.com/share/R7MAWVNWSPV#/screens/306507844 </t>
  </si>
  <si>
    <t>https://rightpoint.invisionapp.com/share/USLK6HKKZYH#/screens/308462704_Services_Detail
https://rightpoint.invisionapp.com/share/USLK6HKKZYH#/screens/308462705_Services_Landing</t>
  </si>
  <si>
    <t>Data:
 - Title
 - Text
Children: Add List of Link List Items</t>
  </si>
  <si>
    <t>Multiple</t>
  </si>
  <si>
    <t>Image Left or Right Content Variant 2</t>
  </si>
  <si>
    <t>Image Left or Right Content</t>
  </si>
  <si>
    <t>ImageLeftOrRightContent.png</t>
  </si>
  <si>
    <t>ImageLeftOrRightContentVariant2.png</t>
  </si>
  <si>
    <r>
      <t>Placeholder only allows rendering of type: 
Featured Products and Solutions, 
Content Link List,
Overview</t>
    </r>
    <r>
      <rPr>
        <sz val="8"/>
        <color theme="1"/>
        <rFont val="Calibri"/>
        <family val="2"/>
        <scheme val="minor"/>
      </rPr>
      <t xml:space="preserve">
</t>
    </r>
  </si>
  <si>
    <t xml:space="preserve">Has option for 3 or 4 column. Will wrap if there are more. </t>
  </si>
  <si>
    <t xml:space="preserve">Has option for 3 or 4 column. Will wrap if there are more. Content author chooses icons. </t>
  </si>
  <si>
    <t>Data:
 - Copy
In the placeholder the content author can add in a:
 - Icon List
 - Flare List</t>
  </si>
  <si>
    <t>Data:
- Title
- Children: Internal Related Callout, External Related Callout</t>
  </si>
  <si>
    <t xml:space="preserve">Callout Text
Download case study will be separate link with link copy with "Is Download" checkbox. 
CTA Text
CTA Link 
Background image chosen from media library. </t>
  </si>
  <si>
    <t>Brand Grid with Description</t>
  </si>
  <si>
    <t>BrandGridWithDescription.png</t>
  </si>
  <si>
    <t>Will cap at 3 brands. 
Brand Blurb (pulled from Brand - can be overwritten at page level) - checkbox to show
Brand Details (pulled from Brand - can be overwritten at page level) - check box to show</t>
  </si>
  <si>
    <t>Page Overview</t>
  </si>
  <si>
    <t>Can accommodate links</t>
  </si>
  <si>
    <t>PageOverview.png</t>
  </si>
  <si>
    <t>Full Width: Yes (for background image only)
Title
Subtitle
Background image
Show background color only if background image is not set. 
Can have multiple lists added to this (will provide options for lists)</t>
  </si>
  <si>
    <t xml:space="preserve">Features should be rich text.
If the checkbox for hide "product details section" is checked, hide the section.
Child items should be the links to the brand sites for the product specific items. 
If there is no image, add the top border.  This is a variation.
Links out to brand sites
</t>
  </si>
  <si>
    <t xml:space="preserve">Each Card should be personalizable for the upper content.
Below content is dynamic based on, card topic and industry.  
Industry plus topic content tag.  
This is taxonomy driven so there must be tagging to support this.
Links out to content. 
Each Card should be personalizable. 
Author should choose the tag for the card and we surface the insight
Anything from insights that has been tagged with “hosted access control” and ordered by the latest date.  
The author should be able to choose 1 facet to personalize on.  
If the query with the personalized facet returns nothing, run the query with the default criteria.  
Default 
• And
o Tag 1
o Tag 2
Personalize By
Facet (Industry For Example)
"See More Insights" should be a link to the insights page.  This page must be added to the site settings.  The text should come from the sitecore dictionary.
Tags are not clickable. 
</t>
  </si>
  <si>
    <t xml:space="preserve">Nice to have. 
Each card needs to be tagged with the appropriate brands and industry.  
Curated set of links for the product page on each brand site. 
See rules for the filtered product card list.
Filtered Product Card List can NOT be personalized. </t>
  </si>
  <si>
    <t>Product Gallery</t>
  </si>
  <si>
    <t>ProductGallery.png</t>
  </si>
  <si>
    <t>Allows entry of 2 card types:
-Image Card
-Next Level Card</t>
  </si>
  <si>
    <t>Product Gallery Image Card</t>
  </si>
  <si>
    <t>Product Gallery Next Level Card</t>
  </si>
  <si>
    <t>ProductGalleryImageCard.png</t>
  </si>
  <si>
    <t>ProductGalleryNextLevelCard.png</t>
  </si>
  <si>
    <t>Build like a normal list, meaning a sitecore item with child items that are the cards.  
There is no need to personalize individual cards in this case. 
Can include Product Card and Product Gallery Next Level Card</t>
  </si>
  <si>
    <t xml:space="preserve">Each card must be individually placed in this section so that its content can be personalized. 
Test to make sure conditional renderings will work in this scenario.
Transparent Background. 
Can include Solution Card and Product Gallery Next Level Card
</t>
  </si>
  <si>
    <t>PageCategoryAndOfferingSection6x6.png</t>
  </si>
  <si>
    <t>PageCategoryAndOfferingSection8x4.png</t>
  </si>
  <si>
    <t>PageCategoryAndOfferingSection12.png</t>
  </si>
  <si>
    <t>PageCategoryAndOfferingSection4x4x4.png</t>
  </si>
  <si>
    <t>Sublayout Control that only allows Category and Offering Cards to be added.  
CSS for the card should all the card to flex.
Will be reverse order of image.</t>
  </si>
  <si>
    <t>SubscribeCallout.png</t>
  </si>
  <si>
    <t>Subscribe Callout</t>
  </si>
  <si>
    <t>Captures email address</t>
  </si>
  <si>
    <t>https://rightpoint.invisionapp.com/share/9VLCM5SR8T5#/screens/304117889_Insights_Landing_Final</t>
  </si>
  <si>
    <t>https://rightpoint.invisionapp.com/share/R7MAWVNWSPV#/screens/308675277</t>
  </si>
  <si>
    <t>Promo Bar</t>
  </si>
  <si>
    <t>PromoBar.png</t>
  </si>
  <si>
    <t xml:space="preserve">Picks up cards for next 3 future events
No personalization. </t>
  </si>
  <si>
    <t>Includes photo</t>
  </si>
  <si>
    <t>Data:
Title
Children:  Title, Link, Description</t>
  </si>
  <si>
    <t>Will be content placeholder where image or video can be added on left
May be same as "Promo Box with Card"</t>
  </si>
  <si>
    <t>All rich text - see Data column</t>
  </si>
  <si>
    <t xml:space="preserve">How locations are defined
Crime Map Integration
Can expand to 3rd line for Phone or Address </t>
  </si>
  <si>
    <t>Author chooses any story. 
Can be any insight type that is not a Webinar or Case Study</t>
  </si>
  <si>
    <t>Promo Box Featured Case Study Card</t>
  </si>
  <si>
    <t>PromoBoxFeaturedCaseStudyCard.png</t>
  </si>
  <si>
    <t xml:space="preserve">Author chooses any case study. </t>
  </si>
  <si>
    <t>Promo Box Featured Story Card Dynamic</t>
  </si>
  <si>
    <t>Promo Box Featured Case Study Card Dynamic</t>
  </si>
  <si>
    <t>Promo Box Featured Webinar Card Dynamic</t>
  </si>
  <si>
    <t>Promo Box Featured Event Card Dynamic</t>
  </si>
  <si>
    <t>None.png</t>
  </si>
  <si>
    <t>May be able to share with Event Detail Header</t>
  </si>
  <si>
    <t>Need to update with newest byline</t>
  </si>
  <si>
    <t>Text may be too light</t>
  </si>
  <si>
    <t xml:space="preserve">Mainly used on L1/L2 pages and connect from Categories to Industries
Content-managed list of industries (author controls what shows). If dynamic industries list can be used, that is ideal scenario. </t>
  </si>
  <si>
    <t>Industry
Events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</si>
</sst>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b/>
      <sz val="8"/>
      <color theme="0"/>
      <name val="Calibri"/>
      <family val="2"/>
      <scheme val="minor"/>
    </font>
    <font>
      <sz val="8"/>
      <color theme="1"/>
      <name val="Calibri"/>
      <family val="2"/>
      <scheme val="minor"/>
    </font>
    <font>
      <sz val="8"/>
      <name val="Calibri"/>
      <family val="2"/>
      <scheme val="minor"/>
    </font>
    <font>
      <sz val="8"/>
      <color rgb="FFFF0000"/>
      <name val="Calibri"/>
      <family val="2"/>
      <scheme val="minor"/>
    </font>
    <font>
      <sz val="11"/>
      <color rgb="FF000000"/>
      <name val="Calibri"/>
      <family val="2"/>
    </font>
    <font>
      <sz val="11"/>
      <color theme="1"/>
      <name val="Calibri"/>
      <family val="2"/>
      <scheme val="minor"/>
    </font>
    <font>
      <b/>
      <sz val="11"/>
      <color theme="1"/>
      <name val="Calibri"/>
      <family val="2"/>
      <scheme val="minor"/>
    </font>
    <font>
      <u/>
      <sz val="11"/>
      <color theme="10"/>
      <name val="Calibri"/>
      <family val="2"/>
      <scheme val="minor"/>
    </font>
    <font>
      <b/>
      <sz val="9"/>
      <color theme="0"/>
      <name val="Calibri"/>
      <family val="2"/>
      <scheme val="minor"/>
    </font>
    <font>
      <u/>
      <sz val="9"/>
      <color theme="10"/>
      <name val="Calibri"/>
      <family val="2"/>
      <scheme val="minor"/>
    </font>
    <font>
      <sz val="9"/>
      <color theme="1"/>
      <name val="Calibri"/>
      <family val="2"/>
      <scheme val="minor"/>
    </font>
    <font>
      <b/>
      <sz val="9"/>
      <color theme="1"/>
      <name val="Calibri"/>
      <family val="2"/>
      <scheme val="minor"/>
    </font>
    <font>
      <sz val="9"/>
      <name val="Calibri"/>
      <family val="2"/>
      <scheme val="minor"/>
    </font>
  </fonts>
  <fills count="6">
    <fill>
      <patternFill patternType="none"/>
    </fill>
    <fill>
      <patternFill patternType="gray125"/>
    </fill>
    <fill>
      <patternFill patternType="solid">
        <fgColor theme="2" tint="-0.89999084444715716"/>
        <bgColor indexed="64"/>
      </patternFill>
    </fill>
    <fill>
      <patternFill patternType="solid">
        <fgColor rgb="FFFFFFCC"/>
      </patternFill>
    </fill>
    <fill>
      <patternFill patternType="solid">
        <fgColor rgb="FFFFFF00"/>
        <bgColor indexed="64"/>
      </patternFill>
    </fill>
    <fill>
      <patternFill patternType="solid">
        <fgColor theme="9"/>
        <bgColor indexed="64"/>
      </patternFill>
    </fill>
  </fills>
  <borders count="3">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6" fillId="3" borderId="1" applyNumberFormat="0" applyFont="0" applyAlignment="0" applyProtection="0"/>
    <xf numFmtId="0" fontId="8" fillId="0" borderId="0" applyNumberFormat="0" applyFill="0" applyBorder="0" applyAlignment="0" applyProtection="0"/>
  </cellStyleXfs>
  <cellXfs count="20">
    <xf numFmtId="0" fontId="0" fillId="0" borderId="0" xfId="0"/>
    <xf numFmtId="0" fontId="0" fillId="0" borderId="0" xfId="0" applyAlignment="1">
      <alignment wrapText="1"/>
    </xf>
    <xf numFmtId="0" fontId="7" fillId="0" borderId="0" xfId="0" applyFont="1"/>
    <xf numFmtId="0" fontId="0" fillId="0" borderId="0" xfId="0" applyFont="1" applyAlignment="1">
      <alignment vertical="top"/>
    </xf>
    <xf numFmtId="0" fontId="0" fillId="3" borderId="1" xfId="1" applyFont="1" applyAlignment="1">
      <alignment vertical="top"/>
    </xf>
    <xf numFmtId="16" fontId="0" fillId="3" borderId="1" xfId="1" applyNumberFormat="1" applyFont="1" applyAlignment="1">
      <alignment vertical="top"/>
    </xf>
    <xf numFmtId="0" fontId="0" fillId="0" borderId="0" xfId="0" applyFont="1"/>
    <xf numFmtId="0" fontId="0" fillId="5" borderId="0" xfId="0" applyFont="1" applyFill="1" applyAlignment="1">
      <alignment vertical="top"/>
    </xf>
    <xf numFmtId="0" fontId="2" fillId="0" borderId="2" xfId="0" applyFont="1" applyBorder="1" applyAlignment="1">
      <alignment vertical="top" wrapText="1"/>
    </xf>
    <xf numFmtId="0" fontId="3" fillId="0" borderId="2" xfId="0" applyFont="1" applyBorder="1" applyAlignment="1">
      <alignment vertical="top" wrapText="1"/>
    </xf>
    <xf numFmtId="0" fontId="2" fillId="4" borderId="2" xfId="0" applyFont="1" applyFill="1" applyBorder="1" applyAlignment="1">
      <alignment vertical="top" wrapText="1"/>
    </xf>
    <xf numFmtId="0" fontId="2" fillId="0" borderId="2" xfId="0" applyFont="1" applyFill="1" applyBorder="1" applyAlignment="1">
      <alignment vertical="top" wrapText="1"/>
    </xf>
    <xf numFmtId="0" fontId="1" fillId="2" borderId="2" xfId="0" applyFont="1" applyFill="1" applyBorder="1" applyAlignment="1">
      <alignment vertical="top" wrapText="1"/>
    </xf>
    <xf numFmtId="0" fontId="4" fillId="0" borderId="2" xfId="0" applyFont="1" applyBorder="1" applyAlignment="1">
      <alignment vertical="top" wrapText="1"/>
    </xf>
    <xf numFmtId="0" fontId="9" fillId="2" borderId="2" xfId="0" applyFont="1" applyFill="1" applyBorder="1" applyAlignment="1">
      <alignment vertical="top" wrapText="1"/>
    </xf>
    <xf numFmtId="0" fontId="10" fillId="0" borderId="2" xfId="2" applyFont="1" applyBorder="1" applyAlignment="1">
      <alignment vertical="top" wrapText="1"/>
    </xf>
    <xf numFmtId="0" fontId="11" fillId="0" borderId="2" xfId="0" applyFont="1" applyBorder="1" applyAlignment="1">
      <alignment vertical="top" wrapText="1"/>
    </xf>
    <xf numFmtId="0" fontId="11" fillId="0" borderId="2" xfId="0" applyFont="1" applyFill="1" applyBorder="1" applyAlignment="1">
      <alignment vertical="top" wrapText="1"/>
    </xf>
    <xf numFmtId="0" fontId="13" fillId="0" borderId="2" xfId="0" applyFont="1" applyBorder="1" applyAlignment="1">
      <alignment vertical="top" wrapText="1"/>
    </xf>
    <xf numFmtId="0" fontId="10" fillId="0" borderId="2" xfId="2" applyFont="1" applyFill="1" applyBorder="1" applyAlignment="1">
      <alignment vertical="top" wrapText="1"/>
    </xf>
  </cellXfs>
  <cellStyles count="3">
    <cellStyle name="Hyperlink" xfId="2" builtinId="8"/>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179614</xdr:colOff>
          <xdr:row>1</xdr:row>
          <xdr:rowOff>76200</xdr:rowOff>
        </xdr:from>
        <xdr:to>
          <xdr:col>16</xdr:col>
          <xdr:colOff>533400</xdr:colOff>
          <xdr:row>1</xdr:row>
          <xdr:rowOff>495300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rightpoint.invisionapp.com/share/R7MAWVNWSPV" TargetMode="External"/><Relationship Id="rId13" Type="http://schemas.openxmlformats.org/officeDocument/2006/relationships/hyperlink" Target="https://rightpoint.invisionapp.com/share/R7MAWVNWSPV" TargetMode="External"/><Relationship Id="rId18" Type="http://schemas.openxmlformats.org/officeDocument/2006/relationships/hyperlink" Target="https://rightpoint.invisionapp.com/share/R7MAWVNWSPV" TargetMode="External"/><Relationship Id="rId26" Type="http://schemas.openxmlformats.org/officeDocument/2006/relationships/hyperlink" Target="https://rightpoint.invisionapp.com/share/R7MAWVNWSPV" TargetMode="External"/><Relationship Id="rId39" Type="http://schemas.openxmlformats.org/officeDocument/2006/relationships/hyperlink" Target="https://rightpoint.invisionapp.com/share/R7MAWVNWSPV" TargetMode="External"/><Relationship Id="rId3" Type="http://schemas.openxmlformats.org/officeDocument/2006/relationships/hyperlink" Target="https://rightpoint.invisionapp.com/share/R7MAWVNWSPV" TargetMode="External"/><Relationship Id="rId21" Type="http://schemas.openxmlformats.org/officeDocument/2006/relationships/hyperlink" Target="https://rightpoint.invisionapp.com/share/R7MAWVNWSPV" TargetMode="External"/><Relationship Id="rId34" Type="http://schemas.openxmlformats.org/officeDocument/2006/relationships/hyperlink" Target="https://rightpoint.invisionapp.com/share/R7MAWVNWSPV" TargetMode="External"/><Relationship Id="rId42" Type="http://schemas.openxmlformats.org/officeDocument/2006/relationships/hyperlink" Target="https://rightpoint.invisionapp.com/share/R7MAWVNWSPV" TargetMode="External"/><Relationship Id="rId7" Type="http://schemas.openxmlformats.org/officeDocument/2006/relationships/hyperlink" Target="https://rightpoint.invisionapp.com/share/R7MAWVNWSPV" TargetMode="External"/><Relationship Id="rId12" Type="http://schemas.openxmlformats.org/officeDocument/2006/relationships/hyperlink" Target="https://rightpoint.invisionapp.com/share/R7MAWVNWSPV" TargetMode="External"/><Relationship Id="rId17" Type="http://schemas.openxmlformats.org/officeDocument/2006/relationships/hyperlink" Target="https://rightpoint.invisionapp.com/share/R7MAWVNWSPV" TargetMode="External"/><Relationship Id="rId25" Type="http://schemas.openxmlformats.org/officeDocument/2006/relationships/hyperlink" Target="https://rightpoint.invisionapp.com/share/R7MAWVNWSPV" TargetMode="External"/><Relationship Id="rId33" Type="http://schemas.openxmlformats.org/officeDocument/2006/relationships/hyperlink" Target="https://rightpoint.invisionapp.com/share/R7MAWVNWSPV" TargetMode="External"/><Relationship Id="rId38" Type="http://schemas.openxmlformats.org/officeDocument/2006/relationships/hyperlink" Target="https://rightpoint.invisionapp.com/share/R7MAWVNWSPV" TargetMode="External"/><Relationship Id="rId46" Type="http://schemas.openxmlformats.org/officeDocument/2006/relationships/ctrlProp" Target="../ctrlProps/ctrlProp1.xml"/><Relationship Id="rId2" Type="http://schemas.openxmlformats.org/officeDocument/2006/relationships/hyperlink" Target="https://rightpoint.invisionapp.com/share/R7MAWVNWSPV" TargetMode="External"/><Relationship Id="rId16" Type="http://schemas.openxmlformats.org/officeDocument/2006/relationships/hyperlink" Target="https://rightpoint.invisionapp.com/share/R7MAWVNWSPV" TargetMode="External"/><Relationship Id="rId20" Type="http://schemas.openxmlformats.org/officeDocument/2006/relationships/hyperlink" Target="https://rightpoint.invisionapp.com/share/R7MAWVNWSPV" TargetMode="External"/><Relationship Id="rId29" Type="http://schemas.openxmlformats.org/officeDocument/2006/relationships/hyperlink" Target="https://rightpoint.invisionapp.com/share/R7MAWVNWSPV" TargetMode="External"/><Relationship Id="rId41" Type="http://schemas.openxmlformats.org/officeDocument/2006/relationships/hyperlink" Target="https://rightpoint.invisionapp.com/share/R7MAWVNWSPV" TargetMode="External"/><Relationship Id="rId1" Type="http://schemas.openxmlformats.org/officeDocument/2006/relationships/hyperlink" Target="https://rightpoint.invisionapp.com/share/R7MAWVNWSPV" TargetMode="External"/><Relationship Id="rId6" Type="http://schemas.openxmlformats.org/officeDocument/2006/relationships/hyperlink" Target="https://rightpoint.invisionapp.com/share/R7MAWVNWSPV" TargetMode="External"/><Relationship Id="rId11" Type="http://schemas.openxmlformats.org/officeDocument/2006/relationships/hyperlink" Target="https://rightpoint.invisionapp.com/share/R7MAWVNWSPV" TargetMode="External"/><Relationship Id="rId24" Type="http://schemas.openxmlformats.org/officeDocument/2006/relationships/hyperlink" Target="https://rightpoint.invisionapp.com/share/R7MAWVNWSPV" TargetMode="External"/><Relationship Id="rId32" Type="http://schemas.openxmlformats.org/officeDocument/2006/relationships/hyperlink" Target="https://rightpoint.invisionapp.com/share/R7MAWVNWSPV" TargetMode="External"/><Relationship Id="rId37" Type="http://schemas.openxmlformats.org/officeDocument/2006/relationships/hyperlink" Target="https://rightpoint.invisionapp.com/share/R7MAWVNWSPV" TargetMode="External"/><Relationship Id="rId40" Type="http://schemas.openxmlformats.org/officeDocument/2006/relationships/hyperlink" Target="https://rightpoint.invisionapp.com/share/R7MAWVNWSPV" TargetMode="External"/><Relationship Id="rId45" Type="http://schemas.openxmlformats.org/officeDocument/2006/relationships/vmlDrawing" Target="../drawings/vmlDrawing1.vml"/><Relationship Id="rId5" Type="http://schemas.openxmlformats.org/officeDocument/2006/relationships/hyperlink" Target="https://rightpoint.invisionapp.com/share/R7MAWVNWSPV" TargetMode="External"/><Relationship Id="rId15" Type="http://schemas.openxmlformats.org/officeDocument/2006/relationships/hyperlink" Target="https://rightpoint.invisionapp.com/share/R7MAWVNWSPV" TargetMode="External"/><Relationship Id="rId23" Type="http://schemas.openxmlformats.org/officeDocument/2006/relationships/hyperlink" Target="https://rightpoint.invisionapp.com/share/R7MAWVNWSPV" TargetMode="External"/><Relationship Id="rId28" Type="http://schemas.openxmlformats.org/officeDocument/2006/relationships/hyperlink" Target="https://rightpoint.invisionapp.com/share/R7MAWVNWSPV" TargetMode="External"/><Relationship Id="rId36" Type="http://schemas.openxmlformats.org/officeDocument/2006/relationships/hyperlink" Target="https://rightpoint.invisionapp.com/share/R7MAWVNWSPV" TargetMode="External"/><Relationship Id="rId10" Type="http://schemas.openxmlformats.org/officeDocument/2006/relationships/hyperlink" Target="https://rightpoint.invisionapp.com/share/R7MAWVNWSPV" TargetMode="External"/><Relationship Id="rId19" Type="http://schemas.openxmlformats.org/officeDocument/2006/relationships/hyperlink" Target="https://rightpoint.invisionapp.com/share/R7MAWVNWSPV" TargetMode="External"/><Relationship Id="rId31" Type="http://schemas.openxmlformats.org/officeDocument/2006/relationships/hyperlink" Target="https://rightpoint.invisionapp.com/share/R7MAWVNWSPV" TargetMode="External"/><Relationship Id="rId44" Type="http://schemas.openxmlformats.org/officeDocument/2006/relationships/drawing" Target="../drawings/drawing1.xml"/><Relationship Id="rId4" Type="http://schemas.openxmlformats.org/officeDocument/2006/relationships/hyperlink" Target="https://rightpoint.invisionapp.com/share/R7MAWVNWSPV" TargetMode="External"/><Relationship Id="rId9" Type="http://schemas.openxmlformats.org/officeDocument/2006/relationships/hyperlink" Target="https://rightpoint.invisionapp.com/share/R7MAWVNWSPV" TargetMode="External"/><Relationship Id="rId14" Type="http://schemas.openxmlformats.org/officeDocument/2006/relationships/hyperlink" Target="https://rightpoint.invisionapp.com/share/R7MAWVNWSPV" TargetMode="External"/><Relationship Id="rId22" Type="http://schemas.openxmlformats.org/officeDocument/2006/relationships/hyperlink" Target="https://rightpoint.invisionapp.com/share/R7MAWVNWSPV" TargetMode="External"/><Relationship Id="rId27" Type="http://schemas.openxmlformats.org/officeDocument/2006/relationships/hyperlink" Target="https://rightpoint.invisionapp.com/share/R7MAWVNWSPV" TargetMode="External"/><Relationship Id="rId30" Type="http://schemas.openxmlformats.org/officeDocument/2006/relationships/hyperlink" Target="https://rightpoint.invisionapp.com/share/R7MAWVNWSPV" TargetMode="External"/><Relationship Id="rId35" Type="http://schemas.openxmlformats.org/officeDocument/2006/relationships/hyperlink" Target="https://rightpoint.invisionapp.com/share/R7MAWVNWSPV" TargetMode="External"/><Relationship Id="rId43"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102"/>
  <sheetViews>
    <sheetView tabSelected="1" topLeftCell="G1" zoomScale="80" zoomScaleNormal="80" workbookViewId="0">
      <pane ySplit="1" topLeftCell="A2" activePane="bottomLeft" state="frozen"/>
      <selection pane="bottomLeft" activeCell="F89" sqref="F89"/>
    </sheetView>
  </sheetViews>
  <sheetFormatPr defaultColWidth="9.15234375" defaultRowHeight="12" x14ac:dyDescent="0.4"/>
  <cols>
    <col min="1" max="1" width="7.3046875" style="8" customWidth="1"/>
    <col min="2" max="2" width="16.69140625" style="8" bestFit="1" customWidth="1"/>
    <col min="3" max="3" width="36.3828125" style="8" bestFit="1" customWidth="1"/>
    <col min="4" max="4" width="32.53515625" style="8" bestFit="1" customWidth="1"/>
    <col min="5" max="5" width="16.3828125" style="8" bestFit="1" customWidth="1"/>
    <col min="6" max="6" width="55.4609375" style="8" customWidth="1"/>
    <col min="7" max="7" width="22.61328125" style="8" customWidth="1"/>
    <col min="8" max="8" width="9.3828125" style="8" bestFit="1" customWidth="1"/>
    <col min="9" max="9" width="13.4609375" style="8" bestFit="1" customWidth="1"/>
    <col min="10" max="10" width="41.3046875" style="8" customWidth="1"/>
    <col min="11" max="11" width="12.3828125" style="8" bestFit="1" customWidth="1"/>
    <col min="12" max="12" width="9.15234375" style="8"/>
    <col min="13" max="13" width="19.53515625" style="8" customWidth="1"/>
    <col min="14" max="14" width="31.84375" style="8" bestFit="1" customWidth="1"/>
    <col min="15" max="15" width="20.23046875" style="16" customWidth="1"/>
    <col min="16" max="16384" width="9.15234375" style="8"/>
  </cols>
  <sheetData>
    <row r="1" spans="1:16" s="12" customFormat="1" x14ac:dyDescent="0.4">
      <c r="A1" s="12" t="s">
        <v>0</v>
      </c>
      <c r="B1" s="12" t="s">
        <v>1</v>
      </c>
      <c r="C1" s="12" t="s">
        <v>2</v>
      </c>
      <c r="D1" s="12" t="s">
        <v>5</v>
      </c>
      <c r="E1" s="12" t="s">
        <v>94</v>
      </c>
      <c r="F1" s="12" t="s">
        <v>7</v>
      </c>
      <c r="G1" s="12" t="s">
        <v>339</v>
      </c>
      <c r="H1" s="12" t="s">
        <v>168</v>
      </c>
      <c r="I1" s="12" t="s">
        <v>169</v>
      </c>
      <c r="J1" s="12" t="s">
        <v>8</v>
      </c>
      <c r="K1" s="12" t="s">
        <v>20</v>
      </c>
      <c r="L1" s="12" t="s">
        <v>40</v>
      </c>
      <c r="M1" s="12" t="s">
        <v>175</v>
      </c>
      <c r="N1" s="12" t="s">
        <v>176</v>
      </c>
      <c r="O1" s="14" t="s">
        <v>336</v>
      </c>
    </row>
    <row r="2" spans="1:16" ht="160.75" x14ac:dyDescent="0.4">
      <c r="A2" s="11">
        <v>1</v>
      </c>
      <c r="B2" s="8" t="s">
        <v>3</v>
      </c>
      <c r="C2" s="8" t="s">
        <v>4</v>
      </c>
      <c r="D2" s="8" t="s">
        <v>6</v>
      </c>
      <c r="E2" s="8" t="s">
        <v>378</v>
      </c>
      <c r="F2" s="8" t="s">
        <v>173</v>
      </c>
      <c r="H2" s="8" t="s">
        <v>170</v>
      </c>
      <c r="I2" s="8" t="s">
        <v>171</v>
      </c>
      <c r="J2" s="8" t="s">
        <v>184</v>
      </c>
      <c r="M2" s="8" t="s">
        <v>174</v>
      </c>
      <c r="O2" s="15" t="s">
        <v>340</v>
      </c>
      <c r="P2" s="8" t="s">
        <v>337</v>
      </c>
    </row>
    <row r="3" spans="1:16" ht="85.75" x14ac:dyDescent="0.4">
      <c r="A3" s="11">
        <f t="shared" ref="A3:A63" si="0">A2+1</f>
        <v>2</v>
      </c>
      <c r="B3" s="8" t="s">
        <v>10</v>
      </c>
      <c r="C3" s="8" t="s">
        <v>177</v>
      </c>
      <c r="D3" s="8" t="s">
        <v>178</v>
      </c>
      <c r="F3" s="8" t="s">
        <v>182</v>
      </c>
      <c r="G3" s="10" t="s">
        <v>343</v>
      </c>
      <c r="H3" s="8" t="s">
        <v>170</v>
      </c>
      <c r="I3" s="8" t="s">
        <v>171</v>
      </c>
      <c r="J3" s="8" t="s">
        <v>181</v>
      </c>
      <c r="N3" s="8" t="s">
        <v>183</v>
      </c>
      <c r="O3" s="15" t="s">
        <v>341</v>
      </c>
      <c r="P3" s="8" t="s">
        <v>337</v>
      </c>
    </row>
    <row r="4" spans="1:16" ht="21.45" x14ac:dyDescent="0.4">
      <c r="A4" s="11">
        <f t="shared" si="0"/>
        <v>3</v>
      </c>
      <c r="B4" s="8" t="s">
        <v>10</v>
      </c>
      <c r="C4" s="8" t="s">
        <v>179</v>
      </c>
      <c r="D4" s="11" t="s">
        <v>434</v>
      </c>
      <c r="F4" s="8" t="s">
        <v>180</v>
      </c>
    </row>
    <row r="5" spans="1:16" ht="140.6" customHeight="1" x14ac:dyDescent="0.4">
      <c r="A5" s="11">
        <f t="shared" si="0"/>
        <v>4</v>
      </c>
      <c r="B5" s="8" t="s">
        <v>9</v>
      </c>
      <c r="C5" s="8" t="s">
        <v>380</v>
      </c>
      <c r="D5" s="8" t="s">
        <v>381</v>
      </c>
      <c r="F5" s="8" t="s">
        <v>383</v>
      </c>
      <c r="G5" s="10"/>
      <c r="H5" s="8" t="s">
        <v>170</v>
      </c>
      <c r="I5" s="8" t="s">
        <v>171</v>
      </c>
      <c r="J5" s="8" t="s">
        <v>185</v>
      </c>
      <c r="K5" s="8" t="s">
        <v>217</v>
      </c>
      <c r="O5" s="15" t="s">
        <v>342</v>
      </c>
      <c r="P5" s="8" t="s">
        <v>337</v>
      </c>
    </row>
    <row r="6" spans="1:16" s="11" customFormat="1" ht="140.6" customHeight="1" x14ac:dyDescent="0.4">
      <c r="A6" s="11">
        <f t="shared" si="0"/>
        <v>5</v>
      </c>
      <c r="B6" s="11" t="s">
        <v>9</v>
      </c>
      <c r="C6" s="11" t="s">
        <v>379</v>
      </c>
      <c r="D6" s="11" t="s">
        <v>382</v>
      </c>
      <c r="O6" s="19"/>
    </row>
    <row r="7" spans="1:16" ht="90" customHeight="1" x14ac:dyDescent="0.4">
      <c r="A7" s="11">
        <f t="shared" si="0"/>
        <v>6</v>
      </c>
      <c r="B7" s="8" t="s">
        <v>10</v>
      </c>
      <c r="C7" s="8" t="s">
        <v>11</v>
      </c>
      <c r="D7" s="8" t="s">
        <v>13</v>
      </c>
      <c r="F7" s="8" t="s">
        <v>186</v>
      </c>
      <c r="G7" s="8" t="s">
        <v>344</v>
      </c>
      <c r="H7" s="8" t="s">
        <v>172</v>
      </c>
      <c r="I7" s="8" t="s">
        <v>171</v>
      </c>
      <c r="J7" s="8" t="s">
        <v>12</v>
      </c>
      <c r="O7" s="15" t="s">
        <v>345</v>
      </c>
      <c r="P7" s="8" t="s">
        <v>337</v>
      </c>
    </row>
    <row r="8" spans="1:16" ht="214.3" x14ac:dyDescent="0.4">
      <c r="A8" s="11">
        <f t="shared" si="0"/>
        <v>7</v>
      </c>
      <c r="B8" s="8" t="s">
        <v>14</v>
      </c>
      <c r="C8" s="8" t="s">
        <v>187</v>
      </c>
      <c r="D8" s="8" t="s">
        <v>15</v>
      </c>
      <c r="F8" s="8" t="s">
        <v>190</v>
      </c>
      <c r="H8" s="8" t="s">
        <v>172</v>
      </c>
      <c r="J8" s="8" t="s">
        <v>12</v>
      </c>
      <c r="O8" s="15" t="s">
        <v>346</v>
      </c>
      <c r="P8" s="8" t="s">
        <v>337</v>
      </c>
    </row>
    <row r="9" spans="1:16" ht="36" x14ac:dyDescent="0.4">
      <c r="A9" s="11">
        <f t="shared" si="0"/>
        <v>8</v>
      </c>
      <c r="B9" s="8" t="s">
        <v>14</v>
      </c>
      <c r="C9" s="8" t="s">
        <v>188</v>
      </c>
      <c r="D9" s="8" t="s">
        <v>15</v>
      </c>
      <c r="F9" s="8" t="s">
        <v>191</v>
      </c>
      <c r="O9" s="15" t="s">
        <v>346</v>
      </c>
      <c r="P9" s="8" t="s">
        <v>337</v>
      </c>
    </row>
    <row r="10" spans="1:16" ht="75" x14ac:dyDescent="0.4">
      <c r="A10" s="11">
        <f t="shared" si="0"/>
        <v>9</v>
      </c>
      <c r="B10" s="8" t="s">
        <v>14</v>
      </c>
      <c r="C10" s="8" t="s">
        <v>16</v>
      </c>
      <c r="D10" s="8" t="s">
        <v>17</v>
      </c>
      <c r="F10" s="8" t="s">
        <v>197</v>
      </c>
      <c r="J10" s="8" t="s">
        <v>12</v>
      </c>
      <c r="O10" s="15" t="s">
        <v>347</v>
      </c>
      <c r="P10" s="8" t="s">
        <v>337</v>
      </c>
    </row>
    <row r="11" spans="1:16" ht="53.6" x14ac:dyDescent="0.4">
      <c r="A11" s="11">
        <f t="shared" si="0"/>
        <v>10</v>
      </c>
      <c r="B11" s="8" t="s">
        <v>10</v>
      </c>
      <c r="C11" s="8" t="s">
        <v>18</v>
      </c>
      <c r="D11" s="8" t="s">
        <v>19</v>
      </c>
      <c r="F11" s="8" t="s">
        <v>198</v>
      </c>
      <c r="H11" s="8" t="s">
        <v>170</v>
      </c>
      <c r="I11" s="8" t="s">
        <v>171</v>
      </c>
      <c r="J11" s="8" t="s">
        <v>386</v>
      </c>
      <c r="K11" s="8" t="s">
        <v>21</v>
      </c>
      <c r="O11" s="15" t="s">
        <v>348</v>
      </c>
      <c r="P11" s="8" t="s">
        <v>337</v>
      </c>
    </row>
    <row r="12" spans="1:16" x14ac:dyDescent="0.4">
      <c r="A12" s="11">
        <f t="shared" si="0"/>
        <v>11</v>
      </c>
      <c r="B12" s="8" t="s">
        <v>10</v>
      </c>
      <c r="C12" s="8" t="s">
        <v>22</v>
      </c>
      <c r="D12" s="8" t="s">
        <v>23</v>
      </c>
      <c r="F12" s="8" t="s">
        <v>385</v>
      </c>
      <c r="J12" s="8" t="s">
        <v>12</v>
      </c>
      <c r="K12" s="8" t="s">
        <v>12</v>
      </c>
    </row>
    <row r="13" spans="1:16" ht="36" x14ac:dyDescent="0.4">
      <c r="A13" s="11">
        <f t="shared" si="0"/>
        <v>12</v>
      </c>
      <c r="B13" s="8" t="s">
        <v>10</v>
      </c>
      <c r="C13" s="8" t="s">
        <v>24</v>
      </c>
      <c r="D13" s="8" t="s">
        <v>25</v>
      </c>
      <c r="F13" s="8" t="s">
        <v>384</v>
      </c>
      <c r="J13" s="8" t="s">
        <v>12</v>
      </c>
      <c r="K13" s="8" t="s">
        <v>12</v>
      </c>
      <c r="O13" s="15" t="s">
        <v>351</v>
      </c>
      <c r="P13" s="8" t="s">
        <v>337</v>
      </c>
    </row>
    <row r="14" spans="1:16" ht="132.9" customHeight="1" x14ac:dyDescent="0.4">
      <c r="A14" s="11">
        <f t="shared" si="0"/>
        <v>13</v>
      </c>
      <c r="B14" s="8" t="s">
        <v>26</v>
      </c>
      <c r="C14" s="8" t="s">
        <v>200</v>
      </c>
      <c r="D14" s="8" t="s">
        <v>199</v>
      </c>
      <c r="F14" s="8" t="s">
        <v>202</v>
      </c>
      <c r="I14" s="8" t="s">
        <v>171</v>
      </c>
      <c r="J14" s="8" t="s">
        <v>387</v>
      </c>
      <c r="K14" s="8" t="s">
        <v>12</v>
      </c>
      <c r="O14" s="15" t="s">
        <v>352</v>
      </c>
      <c r="P14" s="8" t="s">
        <v>337</v>
      </c>
    </row>
    <row r="15" spans="1:16" ht="75" x14ac:dyDescent="0.4">
      <c r="A15" s="11">
        <f t="shared" si="0"/>
        <v>14</v>
      </c>
      <c r="B15" s="8" t="s">
        <v>26</v>
      </c>
      <c r="C15" s="8" t="s">
        <v>201</v>
      </c>
      <c r="D15" s="8" t="s">
        <v>199</v>
      </c>
      <c r="F15" s="8" t="s">
        <v>350</v>
      </c>
      <c r="G15" s="8" t="s">
        <v>349</v>
      </c>
      <c r="J15" s="8" t="s">
        <v>387</v>
      </c>
      <c r="K15" s="8" t="s">
        <v>12</v>
      </c>
      <c r="O15" s="15" t="s">
        <v>352</v>
      </c>
      <c r="P15" s="8" t="s">
        <v>337</v>
      </c>
    </row>
    <row r="16" spans="1:16" ht="107.15" x14ac:dyDescent="0.4">
      <c r="A16" s="11">
        <f t="shared" si="0"/>
        <v>15</v>
      </c>
      <c r="B16" s="8" t="s">
        <v>27</v>
      </c>
      <c r="C16" s="8" t="s">
        <v>28</v>
      </c>
      <c r="D16" s="8" t="s">
        <v>29</v>
      </c>
      <c r="F16" s="8" t="s">
        <v>388</v>
      </c>
      <c r="H16" s="8" t="s">
        <v>170</v>
      </c>
      <c r="I16" s="8" t="s">
        <v>171</v>
      </c>
      <c r="J16" s="8" t="s">
        <v>203</v>
      </c>
      <c r="K16" s="8" t="s">
        <v>12</v>
      </c>
      <c r="O16" s="15" t="s">
        <v>353</v>
      </c>
      <c r="P16" s="8" t="s">
        <v>337</v>
      </c>
    </row>
    <row r="17" spans="1:16" ht="225" x14ac:dyDescent="0.4">
      <c r="A17" s="11">
        <f t="shared" si="0"/>
        <v>16</v>
      </c>
      <c r="B17" s="8" t="s">
        <v>26</v>
      </c>
      <c r="C17" s="8" t="s">
        <v>30</v>
      </c>
      <c r="D17" s="8" t="s">
        <v>32</v>
      </c>
      <c r="F17" s="8" t="s">
        <v>77</v>
      </c>
      <c r="J17" s="8" t="s">
        <v>73</v>
      </c>
      <c r="N17" s="8" t="s">
        <v>206</v>
      </c>
      <c r="O17" s="15" t="s">
        <v>354</v>
      </c>
      <c r="P17" s="8" t="s">
        <v>337</v>
      </c>
    </row>
    <row r="18" spans="1:16" ht="203.6" x14ac:dyDescent="0.4">
      <c r="A18" s="11">
        <f t="shared" si="0"/>
        <v>17</v>
      </c>
      <c r="B18" s="8" t="s">
        <v>26</v>
      </c>
      <c r="C18" s="8" t="s">
        <v>31</v>
      </c>
      <c r="D18" s="8" t="s">
        <v>33</v>
      </c>
      <c r="F18" s="8" t="s">
        <v>204</v>
      </c>
      <c r="J18" s="8" t="s">
        <v>205</v>
      </c>
      <c r="N18" s="8" t="s">
        <v>206</v>
      </c>
      <c r="O18" s="15" t="s">
        <v>354</v>
      </c>
      <c r="P18" s="8" t="s">
        <v>337</v>
      </c>
    </row>
    <row r="19" spans="1:16" ht="36" x14ac:dyDescent="0.4">
      <c r="A19" s="11">
        <f t="shared" si="0"/>
        <v>18</v>
      </c>
      <c r="B19" s="8" t="s">
        <v>26</v>
      </c>
      <c r="C19" s="8" t="s">
        <v>389</v>
      </c>
      <c r="D19" s="8" t="s">
        <v>390</v>
      </c>
      <c r="F19" s="8" t="s">
        <v>391</v>
      </c>
      <c r="O19" s="15" t="s">
        <v>354</v>
      </c>
    </row>
    <row r="20" spans="1:16" ht="96" x14ac:dyDescent="0.4">
      <c r="A20" s="11">
        <f t="shared" si="0"/>
        <v>19</v>
      </c>
      <c r="B20" s="8" t="s">
        <v>26</v>
      </c>
      <c r="C20" s="8" t="s">
        <v>392</v>
      </c>
      <c r="D20" s="8" t="s">
        <v>394</v>
      </c>
      <c r="F20" s="8" t="s">
        <v>393</v>
      </c>
      <c r="H20" s="8" t="s">
        <v>172</v>
      </c>
      <c r="I20" s="8" t="s">
        <v>171</v>
      </c>
      <c r="J20" s="8" t="s">
        <v>377</v>
      </c>
      <c r="N20" s="8" t="s">
        <v>206</v>
      </c>
      <c r="O20" s="15" t="s">
        <v>376</v>
      </c>
      <c r="P20" s="8" t="s">
        <v>337</v>
      </c>
    </row>
    <row r="21" spans="1:16" ht="36" x14ac:dyDescent="0.4">
      <c r="A21" s="11">
        <f t="shared" si="0"/>
        <v>20</v>
      </c>
      <c r="B21" s="8" t="s">
        <v>3</v>
      </c>
      <c r="C21" s="8" t="s">
        <v>34</v>
      </c>
      <c r="D21" s="8" t="s">
        <v>35</v>
      </c>
      <c r="F21" s="8" t="s">
        <v>36</v>
      </c>
      <c r="H21" s="8" t="s">
        <v>170</v>
      </c>
      <c r="I21" s="8" t="s">
        <v>171</v>
      </c>
      <c r="J21" s="8" t="s">
        <v>36</v>
      </c>
      <c r="O21" s="15" t="s">
        <v>338</v>
      </c>
      <c r="P21" s="8" t="s">
        <v>337</v>
      </c>
    </row>
    <row r="22" spans="1:16" ht="107.15" x14ac:dyDescent="0.4">
      <c r="A22" s="11">
        <f t="shared" si="0"/>
        <v>21</v>
      </c>
      <c r="B22" s="8" t="s">
        <v>9</v>
      </c>
      <c r="C22" s="8" t="s">
        <v>9</v>
      </c>
      <c r="D22" s="8" t="s">
        <v>37</v>
      </c>
      <c r="F22" s="8" t="s">
        <v>395</v>
      </c>
      <c r="H22" s="8" t="s">
        <v>170</v>
      </c>
      <c r="I22" s="8" t="s">
        <v>171</v>
      </c>
      <c r="J22" s="8" t="s">
        <v>207</v>
      </c>
      <c r="O22" s="15" t="s">
        <v>355</v>
      </c>
      <c r="P22" s="8" t="s">
        <v>337</v>
      </c>
    </row>
    <row r="23" spans="1:16" ht="36" x14ac:dyDescent="0.4">
      <c r="A23" s="11">
        <f t="shared" si="0"/>
        <v>22</v>
      </c>
      <c r="B23" s="8" t="s">
        <v>26</v>
      </c>
      <c r="C23" s="8" t="s">
        <v>38</v>
      </c>
      <c r="D23" s="8" t="s">
        <v>39</v>
      </c>
      <c r="F23" s="9" t="s">
        <v>406</v>
      </c>
      <c r="G23" s="9"/>
      <c r="H23" s="13"/>
      <c r="I23" s="13"/>
      <c r="J23" s="13" t="s">
        <v>208</v>
      </c>
      <c r="L23" s="8" t="s">
        <v>41</v>
      </c>
      <c r="O23" s="15" t="s">
        <v>356</v>
      </c>
      <c r="P23" s="8" t="s">
        <v>337</v>
      </c>
    </row>
    <row r="24" spans="1:16" ht="85.75" x14ac:dyDescent="0.4">
      <c r="A24" s="11">
        <f t="shared" si="0"/>
        <v>23</v>
      </c>
      <c r="B24" s="8" t="s">
        <v>42</v>
      </c>
      <c r="C24" s="8" t="s">
        <v>43</v>
      </c>
      <c r="D24" s="8" t="s">
        <v>45</v>
      </c>
      <c r="F24" s="8" t="s">
        <v>396</v>
      </c>
      <c r="J24" s="8" t="s">
        <v>44</v>
      </c>
      <c r="O24" s="15" t="s">
        <v>356</v>
      </c>
      <c r="P24" s="8" t="s">
        <v>337</v>
      </c>
    </row>
    <row r="25" spans="1:16" ht="53.6" x14ac:dyDescent="0.4">
      <c r="A25" s="11">
        <f t="shared" si="0"/>
        <v>24</v>
      </c>
      <c r="B25" s="8" t="s">
        <v>26</v>
      </c>
      <c r="C25" s="8" t="s">
        <v>47</v>
      </c>
      <c r="D25" s="8" t="s">
        <v>48</v>
      </c>
      <c r="F25" s="8" t="s">
        <v>407</v>
      </c>
      <c r="O25" s="15" t="s">
        <v>357</v>
      </c>
      <c r="P25" s="8" t="s">
        <v>337</v>
      </c>
    </row>
    <row r="26" spans="1:16" ht="289.3" x14ac:dyDescent="0.4">
      <c r="A26" s="11">
        <f t="shared" si="0"/>
        <v>25</v>
      </c>
      <c r="B26" s="8" t="s">
        <v>42</v>
      </c>
      <c r="C26" s="8" t="s">
        <v>46</v>
      </c>
      <c r="D26" s="8" t="s">
        <v>49</v>
      </c>
      <c r="F26" s="8" t="s">
        <v>397</v>
      </c>
      <c r="J26" s="8" t="s">
        <v>50</v>
      </c>
      <c r="O26" s="15" t="s">
        <v>357</v>
      </c>
      <c r="P26" s="8" t="s">
        <v>337</v>
      </c>
    </row>
    <row r="27" spans="1:16" ht="75" x14ac:dyDescent="0.4">
      <c r="A27" s="11">
        <f t="shared" si="0"/>
        <v>26</v>
      </c>
      <c r="B27" s="8" t="s">
        <v>26</v>
      </c>
      <c r="C27" s="8" t="s">
        <v>330</v>
      </c>
      <c r="D27" s="8" t="s">
        <v>51</v>
      </c>
      <c r="F27" s="8" t="s">
        <v>209</v>
      </c>
      <c r="H27" s="8" t="s">
        <v>170</v>
      </c>
      <c r="I27" s="8" t="s">
        <v>171</v>
      </c>
      <c r="J27" s="8" t="s">
        <v>210</v>
      </c>
    </row>
    <row r="28" spans="1:16" x14ac:dyDescent="0.4">
      <c r="A28" s="11">
        <f t="shared" si="0"/>
        <v>27</v>
      </c>
      <c r="B28" s="8" t="s">
        <v>9</v>
      </c>
      <c r="C28" s="8" t="s">
        <v>52</v>
      </c>
      <c r="D28" s="8" t="s">
        <v>53</v>
      </c>
      <c r="F28" s="8" t="s">
        <v>54</v>
      </c>
    </row>
    <row r="29" spans="1:16" ht="21.45" x14ac:dyDescent="0.4">
      <c r="A29" s="11">
        <f t="shared" si="0"/>
        <v>28</v>
      </c>
      <c r="B29" s="8" t="s">
        <v>55</v>
      </c>
      <c r="C29" s="8" t="s">
        <v>56</v>
      </c>
      <c r="D29" s="8" t="s">
        <v>408</v>
      </c>
      <c r="F29" s="8" t="s">
        <v>61</v>
      </c>
    </row>
    <row r="30" spans="1:16" ht="21.45" x14ac:dyDescent="0.4">
      <c r="A30" s="11">
        <f t="shared" si="0"/>
        <v>29</v>
      </c>
      <c r="B30" s="8" t="s">
        <v>55</v>
      </c>
      <c r="C30" s="8" t="s">
        <v>57</v>
      </c>
      <c r="D30" s="8" t="s">
        <v>409</v>
      </c>
      <c r="F30" s="8" t="s">
        <v>61</v>
      </c>
    </row>
    <row r="31" spans="1:16" ht="32.15" x14ac:dyDescent="0.4">
      <c r="A31" s="11">
        <f t="shared" si="0"/>
        <v>30</v>
      </c>
      <c r="B31" s="8" t="s">
        <v>55</v>
      </c>
      <c r="C31" s="8" t="s">
        <v>58</v>
      </c>
      <c r="D31" s="8" t="s">
        <v>409</v>
      </c>
      <c r="F31" s="8" t="s">
        <v>412</v>
      </c>
    </row>
    <row r="32" spans="1:16" ht="21.45" x14ac:dyDescent="0.4">
      <c r="A32" s="11">
        <f t="shared" si="0"/>
        <v>31</v>
      </c>
      <c r="B32" s="8" t="s">
        <v>55</v>
      </c>
      <c r="C32" s="8" t="s">
        <v>59</v>
      </c>
      <c r="D32" s="8" t="s">
        <v>410</v>
      </c>
      <c r="F32" s="8" t="s">
        <v>61</v>
      </c>
    </row>
    <row r="33" spans="1:15" ht="21.45" x14ac:dyDescent="0.4">
      <c r="A33" s="11">
        <f t="shared" si="0"/>
        <v>32</v>
      </c>
      <c r="B33" s="8" t="s">
        <v>55</v>
      </c>
      <c r="C33" s="8" t="s">
        <v>60</v>
      </c>
      <c r="D33" s="8" t="s">
        <v>411</v>
      </c>
      <c r="F33" s="8" t="s">
        <v>61</v>
      </c>
    </row>
    <row r="34" spans="1:15" ht="75" x14ac:dyDescent="0.4">
      <c r="A34" s="11">
        <f t="shared" si="0"/>
        <v>33</v>
      </c>
      <c r="B34" s="8" t="s">
        <v>42</v>
      </c>
      <c r="C34" s="8" t="s">
        <v>62</v>
      </c>
      <c r="D34" s="8" t="s">
        <v>63</v>
      </c>
      <c r="F34" s="8" t="s">
        <v>64</v>
      </c>
      <c r="H34" s="8" t="s">
        <v>170</v>
      </c>
      <c r="I34" s="8" t="s">
        <v>171</v>
      </c>
      <c r="J34" s="8" t="s">
        <v>211</v>
      </c>
    </row>
    <row r="35" spans="1:15" ht="64.3" x14ac:dyDescent="0.4">
      <c r="A35" s="11">
        <f>A34+1</f>
        <v>34</v>
      </c>
      <c r="B35" s="8" t="s">
        <v>27</v>
      </c>
      <c r="C35" s="8" t="s">
        <v>418</v>
      </c>
      <c r="D35" s="8" t="s">
        <v>419</v>
      </c>
      <c r="F35" s="9"/>
      <c r="H35" s="8" t="s">
        <v>170</v>
      </c>
      <c r="I35" s="8" t="s">
        <v>171</v>
      </c>
      <c r="J35" s="8" t="s">
        <v>212</v>
      </c>
    </row>
    <row r="36" spans="1:15" s="11" customFormat="1" ht="21.45" x14ac:dyDescent="0.4">
      <c r="A36" s="11">
        <f t="shared" si="0"/>
        <v>35</v>
      </c>
      <c r="B36" s="11" t="s">
        <v>27</v>
      </c>
      <c r="C36" s="11" t="s">
        <v>74</v>
      </c>
      <c r="D36" s="11" t="s">
        <v>65</v>
      </c>
      <c r="F36" s="11" t="s">
        <v>70</v>
      </c>
      <c r="J36" s="11" t="s">
        <v>12</v>
      </c>
      <c r="L36" s="11" t="s">
        <v>41</v>
      </c>
      <c r="O36" s="17"/>
    </row>
    <row r="37" spans="1:15" ht="21.45" x14ac:dyDescent="0.4">
      <c r="A37" s="11">
        <f t="shared" si="0"/>
        <v>36</v>
      </c>
      <c r="B37" s="8" t="s">
        <v>26</v>
      </c>
      <c r="C37" s="8" t="s">
        <v>66</v>
      </c>
      <c r="D37" s="8" t="s">
        <v>67</v>
      </c>
      <c r="F37" s="9" t="s">
        <v>420</v>
      </c>
      <c r="J37" s="8" t="s">
        <v>12</v>
      </c>
      <c r="L37" s="8" t="s">
        <v>41</v>
      </c>
    </row>
    <row r="38" spans="1:15" ht="21.45" x14ac:dyDescent="0.4">
      <c r="A38" s="11">
        <f t="shared" si="0"/>
        <v>37</v>
      </c>
      <c r="B38" s="8" t="s">
        <v>27</v>
      </c>
      <c r="C38" s="8" t="s">
        <v>68</v>
      </c>
      <c r="D38" s="8" t="s">
        <v>69</v>
      </c>
      <c r="F38" s="8" t="s">
        <v>70</v>
      </c>
    </row>
    <row r="39" spans="1:15" x14ac:dyDescent="0.4">
      <c r="A39" s="11">
        <f t="shared" si="0"/>
        <v>38</v>
      </c>
      <c r="B39" s="8" t="s">
        <v>27</v>
      </c>
      <c r="C39" s="8" t="s">
        <v>414</v>
      </c>
      <c r="D39" s="8" t="s">
        <v>413</v>
      </c>
      <c r="F39" s="8" t="s">
        <v>415</v>
      </c>
      <c r="O39" s="16" t="s">
        <v>416</v>
      </c>
    </row>
    <row r="40" spans="1:15" ht="53.6" x14ac:dyDescent="0.4">
      <c r="A40" s="11">
        <f t="shared" si="0"/>
        <v>39</v>
      </c>
      <c r="B40" s="8" t="s">
        <v>26</v>
      </c>
      <c r="C40" s="8" t="s">
        <v>71</v>
      </c>
      <c r="D40" s="8" t="s">
        <v>72</v>
      </c>
      <c r="F40" s="8" t="s">
        <v>398</v>
      </c>
      <c r="L40" s="8" t="s">
        <v>41</v>
      </c>
    </row>
    <row r="41" spans="1:15" x14ac:dyDescent="0.4">
      <c r="A41" s="11">
        <f t="shared" si="0"/>
        <v>40</v>
      </c>
      <c r="B41" s="8" t="s">
        <v>3</v>
      </c>
      <c r="C41" s="8" t="s">
        <v>75</v>
      </c>
      <c r="D41" s="8" t="s">
        <v>76</v>
      </c>
      <c r="F41" s="8" t="s">
        <v>216</v>
      </c>
      <c r="H41" s="8" t="s">
        <v>170</v>
      </c>
      <c r="I41" s="8" t="s">
        <v>171</v>
      </c>
      <c r="L41" s="8" t="s">
        <v>41</v>
      </c>
      <c r="O41" s="16" t="s">
        <v>417</v>
      </c>
    </row>
    <row r="42" spans="1:15" ht="42.9" x14ac:dyDescent="0.4">
      <c r="A42" s="11">
        <f t="shared" si="0"/>
        <v>41</v>
      </c>
      <c r="B42" s="8" t="s">
        <v>27</v>
      </c>
      <c r="C42" s="8" t="s">
        <v>78</v>
      </c>
      <c r="D42" s="8" t="s">
        <v>79</v>
      </c>
      <c r="H42" s="8" t="s">
        <v>170</v>
      </c>
      <c r="I42" s="8" t="s">
        <v>171</v>
      </c>
      <c r="J42" s="8" t="s">
        <v>218</v>
      </c>
      <c r="L42" s="8" t="s">
        <v>41</v>
      </c>
    </row>
    <row r="43" spans="1:15" ht="53.6" x14ac:dyDescent="0.4">
      <c r="A43" s="11">
        <f t="shared" si="0"/>
        <v>42</v>
      </c>
      <c r="B43" s="8" t="s">
        <v>10</v>
      </c>
      <c r="C43" s="8" t="s">
        <v>80</v>
      </c>
      <c r="D43" s="8" t="s">
        <v>81</v>
      </c>
      <c r="E43" s="8" t="s">
        <v>331</v>
      </c>
      <c r="H43" s="8" t="s">
        <v>172</v>
      </c>
      <c r="I43" s="8" t="s">
        <v>171</v>
      </c>
      <c r="J43" s="8" t="s">
        <v>221</v>
      </c>
      <c r="K43" s="8" t="s">
        <v>219</v>
      </c>
      <c r="L43" s="8" t="s">
        <v>41</v>
      </c>
    </row>
    <row r="44" spans="1:15" ht="53.6" x14ac:dyDescent="0.4">
      <c r="A44" s="11">
        <f t="shared" si="0"/>
        <v>43</v>
      </c>
      <c r="B44" s="8" t="s">
        <v>10</v>
      </c>
      <c r="C44" s="8" t="s">
        <v>83</v>
      </c>
      <c r="D44" s="8" t="s">
        <v>82</v>
      </c>
      <c r="F44" s="8" t="s">
        <v>222</v>
      </c>
      <c r="H44" s="8" t="s">
        <v>172</v>
      </c>
      <c r="I44" s="8" t="s">
        <v>171</v>
      </c>
      <c r="J44" s="8" t="s">
        <v>220</v>
      </c>
      <c r="L44" s="8" t="s">
        <v>41</v>
      </c>
    </row>
    <row r="45" spans="1:15" ht="53.6" x14ac:dyDescent="0.4">
      <c r="A45" s="11">
        <f t="shared" si="0"/>
        <v>44</v>
      </c>
      <c r="B45" s="8" t="s">
        <v>10</v>
      </c>
      <c r="C45" s="8" t="s">
        <v>84</v>
      </c>
      <c r="D45" s="8" t="s">
        <v>85</v>
      </c>
      <c r="H45" s="8" t="s">
        <v>172</v>
      </c>
      <c r="I45" s="8" t="s">
        <v>171</v>
      </c>
      <c r="J45" s="8" t="s">
        <v>223</v>
      </c>
      <c r="L45" s="8" t="s">
        <v>41</v>
      </c>
    </row>
    <row r="46" spans="1:15" ht="42.9" x14ac:dyDescent="0.4">
      <c r="A46" s="11">
        <f t="shared" si="0"/>
        <v>45</v>
      </c>
      <c r="B46" s="8" t="s">
        <v>10</v>
      </c>
      <c r="C46" s="8" t="s">
        <v>86</v>
      </c>
      <c r="D46" s="8" t="s">
        <v>87</v>
      </c>
      <c r="F46" s="8" t="s">
        <v>226</v>
      </c>
      <c r="H46" s="8" t="s">
        <v>170</v>
      </c>
      <c r="I46" s="8" t="s">
        <v>171</v>
      </c>
      <c r="J46" s="8" t="s">
        <v>224</v>
      </c>
      <c r="L46" s="8" t="s">
        <v>41</v>
      </c>
    </row>
    <row r="47" spans="1:15" ht="32.15" x14ac:dyDescent="0.4">
      <c r="A47" s="11">
        <f t="shared" si="0"/>
        <v>46</v>
      </c>
      <c r="B47" s="8" t="s">
        <v>26</v>
      </c>
      <c r="C47" s="8" t="s">
        <v>88</v>
      </c>
      <c r="D47" s="8" t="s">
        <v>89</v>
      </c>
      <c r="H47" s="8" t="s">
        <v>172</v>
      </c>
      <c r="I47" s="8" t="s">
        <v>171</v>
      </c>
      <c r="J47" s="8" t="s">
        <v>422</v>
      </c>
      <c r="L47" s="8" t="s">
        <v>41</v>
      </c>
    </row>
    <row r="48" spans="1:15" ht="42.9" x14ac:dyDescent="0.4">
      <c r="A48" s="11">
        <f t="shared" si="0"/>
        <v>47</v>
      </c>
      <c r="B48" s="8" t="s">
        <v>27</v>
      </c>
      <c r="C48" s="8" t="s">
        <v>90</v>
      </c>
      <c r="D48" s="8" t="s">
        <v>91</v>
      </c>
      <c r="F48" s="8" t="s">
        <v>421</v>
      </c>
      <c r="H48" s="8" t="s">
        <v>170</v>
      </c>
      <c r="I48" s="8" t="s">
        <v>171</v>
      </c>
      <c r="J48" s="8" t="s">
        <v>227</v>
      </c>
      <c r="L48" s="8" t="s">
        <v>41</v>
      </c>
      <c r="O48" s="15" t="s">
        <v>368</v>
      </c>
    </row>
    <row r="49" spans="1:15" ht="53.6" x14ac:dyDescent="0.4">
      <c r="A49" s="11">
        <f t="shared" si="0"/>
        <v>48</v>
      </c>
      <c r="B49" s="8" t="s">
        <v>10</v>
      </c>
      <c r="C49" s="8" t="s">
        <v>93</v>
      </c>
      <c r="D49" s="8" t="s">
        <v>92</v>
      </c>
      <c r="F49" s="8" t="s">
        <v>424</v>
      </c>
      <c r="H49" s="8" t="s">
        <v>172</v>
      </c>
      <c r="I49" s="8" t="s">
        <v>171</v>
      </c>
      <c r="J49" s="8" t="s">
        <v>228</v>
      </c>
      <c r="L49" s="8" t="s">
        <v>41</v>
      </c>
      <c r="O49" s="15" t="s">
        <v>370</v>
      </c>
    </row>
    <row r="50" spans="1:15" ht="75" x14ac:dyDescent="0.4">
      <c r="A50" s="11">
        <f t="shared" si="0"/>
        <v>49</v>
      </c>
      <c r="B50" s="8" t="s">
        <v>27</v>
      </c>
      <c r="C50" s="8" t="s">
        <v>96</v>
      </c>
      <c r="D50" s="8" t="s">
        <v>95</v>
      </c>
      <c r="F50" s="10" t="s">
        <v>423</v>
      </c>
      <c r="H50" s="8" t="s">
        <v>170</v>
      </c>
      <c r="I50" s="8" t="s">
        <v>171</v>
      </c>
      <c r="J50" s="8" t="s">
        <v>229</v>
      </c>
      <c r="L50" s="8" t="s">
        <v>41</v>
      </c>
      <c r="O50" s="15" t="s">
        <v>369</v>
      </c>
    </row>
    <row r="51" spans="1:15" ht="36" x14ac:dyDescent="0.4">
      <c r="A51" s="11">
        <f t="shared" si="0"/>
        <v>50</v>
      </c>
      <c r="B51" s="8" t="s">
        <v>10</v>
      </c>
      <c r="C51" s="8" t="s">
        <v>97</v>
      </c>
      <c r="D51" s="8" t="s">
        <v>98</v>
      </c>
      <c r="E51" s="8" t="s">
        <v>162</v>
      </c>
      <c r="F51" s="8" t="s">
        <v>424</v>
      </c>
      <c r="H51" s="8" t="s">
        <v>172</v>
      </c>
      <c r="I51" s="8" t="s">
        <v>171</v>
      </c>
      <c r="J51" s="8" t="s">
        <v>230</v>
      </c>
      <c r="L51" s="8" t="s">
        <v>41</v>
      </c>
      <c r="O51" s="15" t="s">
        <v>367</v>
      </c>
    </row>
    <row r="52" spans="1:15" ht="36" x14ac:dyDescent="0.4">
      <c r="A52" s="11">
        <f t="shared" si="0"/>
        <v>51</v>
      </c>
      <c r="B52" s="8" t="s">
        <v>99</v>
      </c>
      <c r="C52" s="8" t="s">
        <v>100</v>
      </c>
      <c r="D52" s="8" t="s">
        <v>101</v>
      </c>
      <c r="E52" s="8" t="s">
        <v>162</v>
      </c>
      <c r="F52" s="8" t="s">
        <v>425</v>
      </c>
      <c r="H52" s="8" t="s">
        <v>172</v>
      </c>
      <c r="I52" s="8" t="s">
        <v>172</v>
      </c>
      <c r="L52" s="8" t="s">
        <v>41</v>
      </c>
      <c r="O52" s="15" t="s">
        <v>366</v>
      </c>
    </row>
    <row r="53" spans="1:15" ht="36" x14ac:dyDescent="0.4">
      <c r="A53" s="11">
        <f t="shared" si="0"/>
        <v>52</v>
      </c>
      <c r="B53" s="8" t="s">
        <v>27</v>
      </c>
      <c r="C53" s="8" t="s">
        <v>106</v>
      </c>
      <c r="D53" s="8" t="s">
        <v>102</v>
      </c>
      <c r="E53" s="8" t="s">
        <v>333</v>
      </c>
      <c r="F53" s="8" t="s">
        <v>426</v>
      </c>
      <c r="J53" s="8" t="s">
        <v>233</v>
      </c>
      <c r="L53" s="8" t="s">
        <v>41</v>
      </c>
      <c r="O53" s="15" t="s">
        <v>371</v>
      </c>
    </row>
    <row r="54" spans="1:15" ht="36" x14ac:dyDescent="0.4">
      <c r="A54" s="11">
        <f t="shared" si="0"/>
        <v>53</v>
      </c>
      <c r="B54" s="8" t="s">
        <v>27</v>
      </c>
      <c r="C54" s="8" t="s">
        <v>427</v>
      </c>
      <c r="D54" s="8" t="s">
        <v>428</v>
      </c>
      <c r="E54" s="8" t="s">
        <v>333</v>
      </c>
      <c r="F54" s="8" t="s">
        <v>429</v>
      </c>
      <c r="J54" s="8" t="s">
        <v>233</v>
      </c>
      <c r="L54" s="8" t="s">
        <v>41</v>
      </c>
      <c r="O54" s="15" t="s">
        <v>371</v>
      </c>
    </row>
    <row r="55" spans="1:15" ht="36" x14ac:dyDescent="0.4">
      <c r="A55" s="11">
        <f t="shared" si="0"/>
        <v>54</v>
      </c>
      <c r="B55" s="8" t="s">
        <v>27</v>
      </c>
      <c r="C55" s="8" t="s">
        <v>107</v>
      </c>
      <c r="D55" s="8" t="s">
        <v>103</v>
      </c>
      <c r="E55" s="8" t="s">
        <v>332</v>
      </c>
      <c r="F55" s="8" t="s">
        <v>231</v>
      </c>
      <c r="J55" s="8" t="s">
        <v>233</v>
      </c>
      <c r="L55" s="8" t="s">
        <v>41</v>
      </c>
      <c r="O55" s="15" t="s">
        <v>371</v>
      </c>
    </row>
    <row r="56" spans="1:15" ht="36" x14ac:dyDescent="0.4">
      <c r="A56" s="11">
        <f t="shared" si="0"/>
        <v>55</v>
      </c>
      <c r="B56" s="8" t="s">
        <v>27</v>
      </c>
      <c r="C56" s="8" t="s">
        <v>108</v>
      </c>
      <c r="D56" s="8" t="s">
        <v>104</v>
      </c>
      <c r="E56" s="8" t="s">
        <v>332</v>
      </c>
      <c r="F56" s="8" t="s">
        <v>232</v>
      </c>
      <c r="J56" s="8" t="s">
        <v>233</v>
      </c>
      <c r="L56" s="8" t="s">
        <v>41</v>
      </c>
      <c r="O56" s="15" t="s">
        <v>371</v>
      </c>
    </row>
    <row r="57" spans="1:15" ht="36" x14ac:dyDescent="0.4">
      <c r="A57" s="11">
        <f t="shared" si="0"/>
        <v>56</v>
      </c>
      <c r="B57" s="8" t="s">
        <v>27</v>
      </c>
      <c r="C57" s="8" t="s">
        <v>430</v>
      </c>
      <c r="D57" s="8" t="s">
        <v>102</v>
      </c>
      <c r="F57" s="8" t="s">
        <v>225</v>
      </c>
      <c r="J57" s="8" t="s">
        <v>233</v>
      </c>
      <c r="L57" s="8" t="s">
        <v>41</v>
      </c>
      <c r="O57" s="15" t="s">
        <v>371</v>
      </c>
    </row>
    <row r="58" spans="1:15" ht="36" x14ac:dyDescent="0.4">
      <c r="A58" s="11">
        <f t="shared" si="0"/>
        <v>57</v>
      </c>
      <c r="B58" s="8" t="s">
        <v>27</v>
      </c>
      <c r="C58" s="8" t="s">
        <v>431</v>
      </c>
      <c r="D58" s="8" t="s">
        <v>428</v>
      </c>
      <c r="F58" s="8" t="s">
        <v>225</v>
      </c>
      <c r="J58" s="8" t="s">
        <v>233</v>
      </c>
      <c r="L58" s="8" t="s">
        <v>41</v>
      </c>
      <c r="O58" s="15" t="s">
        <v>371</v>
      </c>
    </row>
    <row r="59" spans="1:15" ht="36" x14ac:dyDescent="0.4">
      <c r="A59" s="11">
        <f t="shared" si="0"/>
        <v>58</v>
      </c>
      <c r="B59" s="8" t="s">
        <v>27</v>
      </c>
      <c r="C59" s="8" t="s">
        <v>432</v>
      </c>
      <c r="D59" s="8" t="s">
        <v>103</v>
      </c>
      <c r="F59" s="8" t="s">
        <v>225</v>
      </c>
      <c r="J59" s="8" t="s">
        <v>233</v>
      </c>
      <c r="L59" s="8" t="s">
        <v>41</v>
      </c>
      <c r="O59" s="15" t="s">
        <v>371</v>
      </c>
    </row>
    <row r="60" spans="1:15" ht="36" x14ac:dyDescent="0.4">
      <c r="A60" s="11">
        <f t="shared" si="0"/>
        <v>59</v>
      </c>
      <c r="B60" s="8" t="s">
        <v>27</v>
      </c>
      <c r="C60" s="8" t="s">
        <v>433</v>
      </c>
      <c r="D60" s="8" t="s">
        <v>104</v>
      </c>
      <c r="F60" s="8" t="s">
        <v>225</v>
      </c>
      <c r="J60" s="8" t="s">
        <v>233</v>
      </c>
      <c r="L60" s="8" t="s">
        <v>41</v>
      </c>
      <c r="O60" s="15" t="s">
        <v>371</v>
      </c>
    </row>
    <row r="61" spans="1:15" ht="21.45" x14ac:dyDescent="0.4">
      <c r="A61" s="11">
        <f t="shared" si="0"/>
        <v>60</v>
      </c>
      <c r="B61" s="8" t="s">
        <v>27</v>
      </c>
      <c r="C61" s="8" t="s">
        <v>109</v>
      </c>
      <c r="D61" s="8" t="s">
        <v>105</v>
      </c>
      <c r="E61" s="8" t="s">
        <v>439</v>
      </c>
      <c r="H61" s="8" t="s">
        <v>170</v>
      </c>
      <c r="I61" s="8" t="s">
        <v>172</v>
      </c>
      <c r="J61" s="8" t="s">
        <v>234</v>
      </c>
      <c r="L61" s="8" t="s">
        <v>41</v>
      </c>
    </row>
    <row r="62" spans="1:15" ht="21.45" x14ac:dyDescent="0.4">
      <c r="A62" s="11">
        <f t="shared" si="0"/>
        <v>61</v>
      </c>
      <c r="B62" s="8" t="s">
        <v>26</v>
      </c>
      <c r="C62" s="8" t="s">
        <v>110</v>
      </c>
      <c r="D62" s="8" t="s">
        <v>111</v>
      </c>
      <c r="E62" s="8" t="s">
        <v>331</v>
      </c>
      <c r="F62" s="8" t="s">
        <v>235</v>
      </c>
      <c r="H62" s="8" t="s">
        <v>172</v>
      </c>
      <c r="I62" s="8" t="s">
        <v>170</v>
      </c>
      <c r="L62" s="8" t="s">
        <v>41</v>
      </c>
    </row>
    <row r="63" spans="1:15" ht="64.3" x14ac:dyDescent="0.4">
      <c r="A63" s="11">
        <f t="shared" si="0"/>
        <v>62</v>
      </c>
      <c r="B63" s="8" t="s">
        <v>99</v>
      </c>
      <c r="C63" s="8" t="s">
        <v>112</v>
      </c>
      <c r="D63" s="8" t="s">
        <v>113</v>
      </c>
      <c r="E63" s="8" t="s">
        <v>163</v>
      </c>
      <c r="F63" s="8" t="s">
        <v>236</v>
      </c>
      <c r="L63" s="8" t="s">
        <v>41</v>
      </c>
    </row>
    <row r="64" spans="1:15" x14ac:dyDescent="0.4">
      <c r="A64" s="11">
        <f t="shared" ref="A64:A99" si="1">A63+1</f>
        <v>63</v>
      </c>
      <c r="B64" s="8" t="s">
        <v>117</v>
      </c>
      <c r="C64" s="8" t="s">
        <v>118</v>
      </c>
      <c r="D64" s="8" t="s">
        <v>119</v>
      </c>
      <c r="E64" s="8" t="s">
        <v>164</v>
      </c>
      <c r="F64" s="8" t="s">
        <v>237</v>
      </c>
      <c r="H64" s="8" t="s">
        <v>170</v>
      </c>
      <c r="I64" s="8" t="s">
        <v>171</v>
      </c>
      <c r="L64" s="8" t="s">
        <v>41</v>
      </c>
    </row>
    <row r="65" spans="1:15" ht="85.75" x14ac:dyDescent="0.4">
      <c r="A65" s="11">
        <f t="shared" si="1"/>
        <v>64</v>
      </c>
      <c r="B65" s="8" t="s">
        <v>99</v>
      </c>
      <c r="C65" s="8" t="s">
        <v>120</v>
      </c>
      <c r="D65" s="8" t="s">
        <v>121</v>
      </c>
      <c r="E65" s="8" t="s">
        <v>164</v>
      </c>
      <c r="F65" s="8" t="s">
        <v>238</v>
      </c>
      <c r="L65" s="8" t="s">
        <v>41</v>
      </c>
    </row>
    <row r="66" spans="1:15" ht="32.15" x14ac:dyDescent="0.4">
      <c r="A66" s="11">
        <f t="shared" si="1"/>
        <v>65</v>
      </c>
      <c r="B66" s="8" t="s">
        <v>99</v>
      </c>
      <c r="C66" s="8" t="s">
        <v>122</v>
      </c>
      <c r="D66" s="8" t="s">
        <v>123</v>
      </c>
      <c r="E66" s="8" t="s">
        <v>166</v>
      </c>
      <c r="F66" s="8" t="s">
        <v>239</v>
      </c>
      <c r="L66" s="8" t="s">
        <v>41</v>
      </c>
    </row>
    <row r="67" spans="1:15" x14ac:dyDescent="0.4">
      <c r="A67" s="11">
        <f t="shared" si="1"/>
        <v>66</v>
      </c>
      <c r="B67" s="8" t="s">
        <v>117</v>
      </c>
      <c r="C67" s="8" t="s">
        <v>148</v>
      </c>
      <c r="D67" s="8" t="s">
        <v>149</v>
      </c>
      <c r="E67" s="8" t="s">
        <v>166</v>
      </c>
      <c r="F67" s="8" t="s">
        <v>435</v>
      </c>
      <c r="L67" s="8" t="s">
        <v>41</v>
      </c>
    </row>
    <row r="68" spans="1:15" x14ac:dyDescent="0.4">
      <c r="A68" s="11">
        <f t="shared" si="1"/>
        <v>67</v>
      </c>
      <c r="B68" s="8" t="s">
        <v>99</v>
      </c>
      <c r="C68" s="8" t="s">
        <v>133</v>
      </c>
      <c r="D68" s="8" t="s">
        <v>150</v>
      </c>
      <c r="E68" s="8" t="s">
        <v>166</v>
      </c>
      <c r="F68" s="8" t="s">
        <v>436</v>
      </c>
      <c r="L68" s="8" t="s">
        <v>41</v>
      </c>
    </row>
    <row r="69" spans="1:15" x14ac:dyDescent="0.4">
      <c r="A69" s="11">
        <f t="shared" si="1"/>
        <v>68</v>
      </c>
      <c r="B69" s="8" t="s">
        <v>99</v>
      </c>
      <c r="C69" s="8" t="s">
        <v>152</v>
      </c>
      <c r="D69" s="8" t="s">
        <v>151</v>
      </c>
      <c r="E69" s="8" t="s">
        <v>166</v>
      </c>
      <c r="F69" s="8" t="s">
        <v>128</v>
      </c>
      <c r="L69" s="8" t="s">
        <v>41</v>
      </c>
    </row>
    <row r="70" spans="1:15" ht="96.45" x14ac:dyDescent="0.4">
      <c r="A70" s="11">
        <f t="shared" si="1"/>
        <v>69</v>
      </c>
      <c r="B70" s="8" t="s">
        <v>10</v>
      </c>
      <c r="C70" s="8" t="s">
        <v>124</v>
      </c>
      <c r="D70" s="11" t="s">
        <v>125</v>
      </c>
      <c r="F70" s="8" t="s">
        <v>240</v>
      </c>
      <c r="L70" s="8" t="s">
        <v>41</v>
      </c>
      <c r="O70" s="15" t="s">
        <v>372</v>
      </c>
    </row>
    <row r="71" spans="1:15" x14ac:dyDescent="0.4">
      <c r="A71" s="11">
        <f t="shared" si="1"/>
        <v>70</v>
      </c>
      <c r="B71" s="8" t="s">
        <v>99</v>
      </c>
      <c r="C71" s="8" t="s">
        <v>126</v>
      </c>
      <c r="D71" s="8" t="s">
        <v>127</v>
      </c>
      <c r="E71" s="8" t="s">
        <v>166</v>
      </c>
      <c r="F71" s="10" t="s">
        <v>437</v>
      </c>
      <c r="L71" s="8" t="s">
        <v>41</v>
      </c>
    </row>
    <row r="72" spans="1:15" x14ac:dyDescent="0.4">
      <c r="A72" s="11">
        <f t="shared" si="1"/>
        <v>71</v>
      </c>
      <c r="B72" s="8" t="s">
        <v>99</v>
      </c>
      <c r="C72" s="8" t="s">
        <v>129</v>
      </c>
      <c r="D72" s="8" t="s">
        <v>130</v>
      </c>
      <c r="E72" s="8" t="s">
        <v>166</v>
      </c>
      <c r="L72" s="8" t="s">
        <v>41</v>
      </c>
    </row>
    <row r="73" spans="1:15" ht="117.9" x14ac:dyDescent="0.4">
      <c r="A73" s="11">
        <f t="shared" si="1"/>
        <v>72</v>
      </c>
      <c r="B73" s="8" t="s">
        <v>99</v>
      </c>
      <c r="C73" s="8" t="s">
        <v>134</v>
      </c>
      <c r="D73" s="8" t="s">
        <v>135</v>
      </c>
      <c r="E73" s="8" t="s">
        <v>166</v>
      </c>
      <c r="J73" s="8" t="s">
        <v>241</v>
      </c>
      <c r="L73" s="8" t="s">
        <v>41</v>
      </c>
    </row>
    <row r="74" spans="1:15" ht="36" x14ac:dyDescent="0.4">
      <c r="A74" s="11">
        <f t="shared" si="1"/>
        <v>73</v>
      </c>
      <c r="B74" s="8" t="s">
        <v>99</v>
      </c>
      <c r="C74" s="8" t="s">
        <v>136</v>
      </c>
      <c r="D74" s="8" t="s">
        <v>137</v>
      </c>
      <c r="E74" s="8" t="s">
        <v>166</v>
      </c>
      <c r="F74" s="8" t="s">
        <v>242</v>
      </c>
      <c r="L74" s="8" t="s">
        <v>41</v>
      </c>
      <c r="O74" s="15" t="s">
        <v>375</v>
      </c>
    </row>
    <row r="75" spans="1:15" x14ac:dyDescent="0.4">
      <c r="A75" s="11">
        <f t="shared" si="1"/>
        <v>74</v>
      </c>
      <c r="B75" s="8" t="s">
        <v>10</v>
      </c>
      <c r="C75" s="8" t="s">
        <v>138</v>
      </c>
      <c r="D75" s="8" t="s">
        <v>139</v>
      </c>
      <c r="F75" s="8" t="s">
        <v>243</v>
      </c>
      <c r="L75" s="8" t="s">
        <v>41</v>
      </c>
    </row>
    <row r="76" spans="1:15" x14ac:dyDescent="0.4">
      <c r="A76" s="11">
        <f t="shared" si="1"/>
        <v>75</v>
      </c>
      <c r="B76" s="8" t="s">
        <v>99</v>
      </c>
      <c r="C76" s="8" t="s">
        <v>141</v>
      </c>
      <c r="D76" s="8" t="s">
        <v>140</v>
      </c>
      <c r="E76" s="8" t="s">
        <v>166</v>
      </c>
      <c r="L76" s="8" t="s">
        <v>41</v>
      </c>
    </row>
    <row r="77" spans="1:15" ht="36" x14ac:dyDescent="0.4">
      <c r="A77" s="11">
        <f t="shared" si="1"/>
        <v>76</v>
      </c>
      <c r="B77" s="8" t="s">
        <v>142</v>
      </c>
      <c r="C77" s="8" t="s">
        <v>143</v>
      </c>
      <c r="D77" s="8" t="s">
        <v>144</v>
      </c>
      <c r="F77" s="8" t="s">
        <v>145</v>
      </c>
      <c r="L77" s="8" t="s">
        <v>41</v>
      </c>
      <c r="O77" s="15" t="s">
        <v>373</v>
      </c>
    </row>
    <row r="78" spans="1:15" ht="36" x14ac:dyDescent="0.4">
      <c r="A78" s="11">
        <f t="shared" si="1"/>
        <v>77</v>
      </c>
      <c r="B78" s="8" t="s">
        <v>99</v>
      </c>
      <c r="C78" s="8" t="s">
        <v>146</v>
      </c>
      <c r="D78" s="8" t="s">
        <v>147</v>
      </c>
      <c r="E78" s="8" t="s">
        <v>166</v>
      </c>
      <c r="F78" s="8" t="s">
        <v>244</v>
      </c>
      <c r="L78" s="8" t="s">
        <v>41</v>
      </c>
      <c r="O78" s="15" t="s">
        <v>374</v>
      </c>
    </row>
    <row r="79" spans="1:15" x14ac:dyDescent="0.4">
      <c r="A79" s="11">
        <f t="shared" si="1"/>
        <v>78</v>
      </c>
      <c r="B79" s="8" t="s">
        <v>99</v>
      </c>
      <c r="C79" s="8" t="s">
        <v>153</v>
      </c>
      <c r="D79" s="8" t="s">
        <v>154</v>
      </c>
      <c r="E79" s="8" t="s">
        <v>166</v>
      </c>
      <c r="L79" s="8" t="s">
        <v>41</v>
      </c>
    </row>
    <row r="80" spans="1:15" x14ac:dyDescent="0.4">
      <c r="A80" s="11">
        <f t="shared" si="1"/>
        <v>79</v>
      </c>
      <c r="B80" s="8" t="s">
        <v>99</v>
      </c>
      <c r="C80" s="8" t="s">
        <v>155</v>
      </c>
      <c r="D80" s="8" t="s">
        <v>156</v>
      </c>
      <c r="E80" s="8" t="s">
        <v>166</v>
      </c>
      <c r="F80" s="8" t="s">
        <v>245</v>
      </c>
    </row>
    <row r="81" spans="1:16" ht="42.9" x14ac:dyDescent="0.4">
      <c r="A81" s="11">
        <f t="shared" si="1"/>
        <v>80</v>
      </c>
      <c r="B81" s="8" t="s">
        <v>99</v>
      </c>
      <c r="C81" s="8" t="s">
        <v>157</v>
      </c>
      <c r="D81" s="8" t="s">
        <v>158</v>
      </c>
      <c r="E81" s="8" t="s">
        <v>166</v>
      </c>
      <c r="J81" s="8" t="s">
        <v>159</v>
      </c>
    </row>
    <row r="82" spans="1:16" x14ac:dyDescent="0.4">
      <c r="A82" s="11">
        <f t="shared" si="1"/>
        <v>81</v>
      </c>
      <c r="B82" s="8" t="s">
        <v>99</v>
      </c>
      <c r="C82" s="8" t="s">
        <v>160</v>
      </c>
      <c r="D82" s="8" t="s">
        <v>161</v>
      </c>
      <c r="E82" s="8" t="s">
        <v>167</v>
      </c>
      <c r="F82" s="8" t="s">
        <v>246</v>
      </c>
    </row>
    <row r="83" spans="1:16" ht="21.45" x14ac:dyDescent="0.4">
      <c r="A83" s="10">
        <f t="shared" si="1"/>
        <v>82</v>
      </c>
      <c r="B83" s="8" t="s">
        <v>99</v>
      </c>
      <c r="C83" s="8" t="s">
        <v>293</v>
      </c>
      <c r="D83" s="8" t="s">
        <v>294</v>
      </c>
      <c r="E83" s="8" t="s">
        <v>295</v>
      </c>
      <c r="F83" s="8" t="s">
        <v>312</v>
      </c>
      <c r="H83" s="8" t="s">
        <v>170</v>
      </c>
      <c r="I83" s="8" t="s">
        <v>171</v>
      </c>
    </row>
    <row r="84" spans="1:16" ht="32.15" x14ac:dyDescent="0.4">
      <c r="A84" s="10">
        <f t="shared" si="1"/>
        <v>83</v>
      </c>
      <c r="B84" s="8" t="s">
        <v>99</v>
      </c>
      <c r="C84" s="8" t="s">
        <v>297</v>
      </c>
      <c r="D84" s="8" t="s">
        <v>298</v>
      </c>
      <c r="E84" s="8" t="s">
        <v>295</v>
      </c>
      <c r="F84" s="8" t="s">
        <v>299</v>
      </c>
      <c r="J84" s="8" t="s">
        <v>301</v>
      </c>
    </row>
    <row r="85" spans="1:16" ht="42.9" x14ac:dyDescent="0.4">
      <c r="A85" s="10">
        <f t="shared" si="1"/>
        <v>84</v>
      </c>
      <c r="B85" s="8" t="s">
        <v>99</v>
      </c>
      <c r="C85" s="8" t="s">
        <v>296</v>
      </c>
      <c r="D85" s="8" t="s">
        <v>300</v>
      </c>
      <c r="E85" s="8" t="s">
        <v>295</v>
      </c>
      <c r="H85" s="8" t="s">
        <v>170</v>
      </c>
      <c r="I85" s="8" t="s">
        <v>171</v>
      </c>
      <c r="J85" s="8" t="s">
        <v>302</v>
      </c>
    </row>
    <row r="86" spans="1:16" ht="21.45" x14ac:dyDescent="0.4">
      <c r="A86" s="10">
        <f t="shared" si="1"/>
        <v>85</v>
      </c>
      <c r="B86" s="8" t="s">
        <v>99</v>
      </c>
      <c r="C86" s="8" t="s">
        <v>303</v>
      </c>
      <c r="D86" s="8" t="s">
        <v>304</v>
      </c>
      <c r="E86" s="8" t="s">
        <v>295</v>
      </c>
      <c r="F86" s="8" t="s">
        <v>305</v>
      </c>
    </row>
    <row r="87" spans="1:16" ht="75" x14ac:dyDescent="0.4">
      <c r="A87" s="10">
        <f t="shared" si="1"/>
        <v>86</v>
      </c>
      <c r="B87" s="8" t="s">
        <v>99</v>
      </c>
      <c r="C87" s="8" t="s">
        <v>306</v>
      </c>
      <c r="D87" s="8" t="s">
        <v>307</v>
      </c>
      <c r="E87" s="8" t="s">
        <v>295</v>
      </c>
      <c r="F87" s="8" t="s">
        <v>308</v>
      </c>
      <c r="H87" s="8" t="s">
        <v>170</v>
      </c>
      <c r="I87" s="8" t="s">
        <v>171</v>
      </c>
      <c r="J87" s="8" t="s">
        <v>309</v>
      </c>
    </row>
    <row r="88" spans="1:16" ht="21.45" x14ac:dyDescent="0.4">
      <c r="A88" s="10">
        <f t="shared" si="1"/>
        <v>87</v>
      </c>
      <c r="B88" s="8" t="s">
        <v>10</v>
      </c>
      <c r="C88" s="8" t="s">
        <v>213</v>
      </c>
      <c r="D88" s="8" t="s">
        <v>310</v>
      </c>
      <c r="E88" s="8" t="s">
        <v>311</v>
      </c>
      <c r="F88" s="8" t="s">
        <v>313</v>
      </c>
      <c r="H88" s="8" t="s">
        <v>172</v>
      </c>
      <c r="I88" s="8" t="s">
        <v>314</v>
      </c>
    </row>
    <row r="89" spans="1:16" x14ac:dyDescent="0.4">
      <c r="A89" s="10">
        <f t="shared" si="1"/>
        <v>88</v>
      </c>
      <c r="B89" s="8" t="s">
        <v>10</v>
      </c>
      <c r="C89" s="8" t="s">
        <v>328</v>
      </c>
      <c r="D89" s="8" t="s">
        <v>310</v>
      </c>
      <c r="E89" s="8" t="s">
        <v>311</v>
      </c>
      <c r="F89" s="8" t="s">
        <v>329</v>
      </c>
    </row>
    <row r="90" spans="1:16" ht="375" x14ac:dyDescent="0.4">
      <c r="A90" s="11">
        <f t="shared" si="1"/>
        <v>89</v>
      </c>
      <c r="B90" s="8" t="s">
        <v>250</v>
      </c>
      <c r="C90" s="8" t="s">
        <v>251</v>
      </c>
      <c r="D90" s="8" t="s">
        <v>315</v>
      </c>
      <c r="E90" s="8" t="s">
        <v>311</v>
      </c>
      <c r="F90" s="8" t="s">
        <v>316</v>
      </c>
      <c r="G90" s="8" t="s">
        <v>358</v>
      </c>
      <c r="H90" s="8" t="s">
        <v>172</v>
      </c>
      <c r="I90" s="8" t="s">
        <v>172</v>
      </c>
    </row>
    <row r="91" spans="1:16" ht="107.15" x14ac:dyDescent="0.4">
      <c r="A91" s="11">
        <f t="shared" si="1"/>
        <v>90</v>
      </c>
      <c r="B91" s="8" t="s">
        <v>250</v>
      </c>
      <c r="C91" s="8" t="s">
        <v>317</v>
      </c>
      <c r="D91" s="8" t="s">
        <v>318</v>
      </c>
      <c r="F91" s="8" t="s">
        <v>319</v>
      </c>
      <c r="M91" s="13" t="s">
        <v>359</v>
      </c>
    </row>
    <row r="92" spans="1:16" ht="60" x14ac:dyDescent="0.4">
      <c r="A92" s="11">
        <f t="shared" si="1"/>
        <v>91</v>
      </c>
      <c r="B92" s="8" t="s">
        <v>250</v>
      </c>
      <c r="C92" s="8" t="s">
        <v>3</v>
      </c>
      <c r="D92" s="8" t="s">
        <v>320</v>
      </c>
      <c r="F92" s="8" t="s">
        <v>322</v>
      </c>
      <c r="O92" s="16" t="s">
        <v>365</v>
      </c>
    </row>
    <row r="93" spans="1:16" ht="36" x14ac:dyDescent="0.4">
      <c r="A93" s="11">
        <f t="shared" si="1"/>
        <v>92</v>
      </c>
      <c r="B93" s="8" t="s">
        <v>250</v>
      </c>
      <c r="C93" s="8" t="s">
        <v>323</v>
      </c>
      <c r="D93" s="8" t="s">
        <v>321</v>
      </c>
      <c r="F93" s="8" t="s">
        <v>335</v>
      </c>
      <c r="O93" s="15" t="s">
        <v>363</v>
      </c>
      <c r="P93" s="8" t="s">
        <v>337</v>
      </c>
    </row>
    <row r="94" spans="1:16" ht="36" x14ac:dyDescent="0.4">
      <c r="A94" s="11">
        <f t="shared" si="1"/>
        <v>93</v>
      </c>
      <c r="B94" s="8" t="s">
        <v>250</v>
      </c>
      <c r="C94" s="8" t="s">
        <v>324</v>
      </c>
      <c r="D94" s="8" t="s">
        <v>325</v>
      </c>
      <c r="F94" s="8" t="s">
        <v>334</v>
      </c>
      <c r="O94" s="15" t="s">
        <v>364</v>
      </c>
    </row>
    <row r="95" spans="1:16" x14ac:dyDescent="0.4">
      <c r="A95" s="11">
        <f t="shared" si="1"/>
        <v>94</v>
      </c>
      <c r="B95" s="8" t="s">
        <v>250</v>
      </c>
      <c r="C95" s="8" t="s">
        <v>326</v>
      </c>
      <c r="D95" s="8" t="s">
        <v>327</v>
      </c>
      <c r="F95" s="8" t="s">
        <v>322</v>
      </c>
    </row>
    <row r="96" spans="1:16" ht="36" x14ac:dyDescent="0.4">
      <c r="A96" s="11">
        <f t="shared" si="1"/>
        <v>95</v>
      </c>
      <c r="B96" s="9" t="s">
        <v>27</v>
      </c>
      <c r="C96" s="9" t="s">
        <v>360</v>
      </c>
      <c r="D96" s="9" t="s">
        <v>361</v>
      </c>
      <c r="E96" s="13"/>
      <c r="F96" s="13" t="s">
        <v>438</v>
      </c>
      <c r="G96" s="9" t="s">
        <v>362</v>
      </c>
      <c r="H96" s="13"/>
      <c r="I96" s="13"/>
      <c r="J96" s="13"/>
      <c r="K96" s="13"/>
      <c r="L96" s="13"/>
      <c r="M96" s="13"/>
      <c r="N96" s="13"/>
      <c r="O96" s="15" t="s">
        <v>355</v>
      </c>
      <c r="P96" s="13"/>
    </row>
    <row r="97" spans="1:15" s="9" customFormat="1" ht="32.15" x14ac:dyDescent="0.4">
      <c r="A97" s="11">
        <f t="shared" si="1"/>
        <v>96</v>
      </c>
      <c r="B97" s="9" t="s">
        <v>26</v>
      </c>
      <c r="C97" s="9" t="s">
        <v>399</v>
      </c>
      <c r="D97" s="9" t="s">
        <v>400</v>
      </c>
      <c r="F97" s="9" t="s">
        <v>401</v>
      </c>
      <c r="O97" s="18"/>
    </row>
    <row r="98" spans="1:15" x14ac:dyDescent="0.4">
      <c r="A98" s="11">
        <f t="shared" si="1"/>
        <v>97</v>
      </c>
      <c r="B98" s="8" t="s">
        <v>26</v>
      </c>
      <c r="C98" s="8" t="s">
        <v>402</v>
      </c>
      <c r="D98" s="8" t="s">
        <v>404</v>
      </c>
    </row>
    <row r="99" spans="1:15" x14ac:dyDescent="0.4">
      <c r="A99" s="11">
        <f t="shared" si="1"/>
        <v>98</v>
      </c>
      <c r="B99" s="8" t="s">
        <v>26</v>
      </c>
      <c r="C99" s="8" t="s">
        <v>403</v>
      </c>
      <c r="D99" s="8" t="s">
        <v>405</v>
      </c>
    </row>
    <row r="100" spans="1:15" x14ac:dyDescent="0.4">
      <c r="A100" s="11"/>
    </row>
    <row r="101" spans="1:15" x14ac:dyDescent="0.4">
      <c r="A101" s="11"/>
    </row>
    <row r="102" spans="1:15" x14ac:dyDescent="0.4">
      <c r="A102" s="11"/>
    </row>
  </sheetData>
  <autoFilter ref="A1:L100"/>
  <hyperlinks>
    <hyperlink ref="O20" r:id="rId1" location="/screens/308674071 " display="https://rightpoint.invisionapp.com/share/R7MAWVNWSPV#/screens/308674071 "/>
    <hyperlink ref="O21" r:id="rId2" location="/screens/306731209"/>
    <hyperlink ref="O2" r:id="rId3" location="/screens/306731210 "/>
    <hyperlink ref="O3" r:id="rId4" location="/screens/306505796 "/>
    <hyperlink ref="O5" r:id="rId5" location="/screens/306507838 "/>
    <hyperlink ref="O7" r:id="rId6" location="/screens/306507840 "/>
    <hyperlink ref="O8" r:id="rId7" location="/screens/306507851 "/>
    <hyperlink ref="O9" r:id="rId8" location="/screens/306507851 "/>
    <hyperlink ref="O10" r:id="rId9" location="/screens/306507845 "/>
    <hyperlink ref="O11" r:id="rId10" location="/screens/306507651 "/>
    <hyperlink ref="O13" r:id="rId11" location="/screens/306507852 "/>
    <hyperlink ref="O14" r:id="rId12" location="/screens/308680602 "/>
    <hyperlink ref="O15" r:id="rId13" location="/screens/308680602 "/>
    <hyperlink ref="O16" r:id="rId14" location="/screens/306507451 "/>
    <hyperlink ref="O18" r:id="rId15" location="/screens/306507849 "/>
    <hyperlink ref="O22" r:id="rId16" location="/screens/306507836 "/>
    <hyperlink ref="O23" r:id="rId17" location="/screens/306507835 "/>
    <hyperlink ref="O24" r:id="rId18" location="/screens/306507835 "/>
    <hyperlink ref="O25" r:id="rId19" location="/screens/306507853 "/>
    <hyperlink ref="O26" r:id="rId20" location="/screens/306507853 "/>
    <hyperlink ref="O96" r:id="rId21" location="/screens/306507836 "/>
    <hyperlink ref="O93" r:id="rId22" location="/screens/306505795 "/>
    <hyperlink ref="O94" r:id="rId23" location="/screens/306722249 "/>
    <hyperlink ref="O52" r:id="rId24" location="/screens/308723409 "/>
    <hyperlink ref="O51" r:id="rId25" location="/screens/308722905 "/>
    <hyperlink ref="O48" r:id="rId26" location="/screens/308721722 "/>
    <hyperlink ref="O50" r:id="rId27" location="/screens/308722629 "/>
    <hyperlink ref="O49" r:id="rId28" location="/screens/308722487 "/>
    <hyperlink ref="O53" r:id="rId29" location="/screens/308956363 "/>
    <hyperlink ref="O54" r:id="rId30" location="/screens/308956363 "/>
    <hyperlink ref="O55" r:id="rId31" location="/screens/308956363 "/>
    <hyperlink ref="O56" r:id="rId32" location="/screens/308956363 "/>
    <hyperlink ref="O57" r:id="rId33" location="/screens/308956363 "/>
    <hyperlink ref="O58" r:id="rId34" location="/screens/308956363 "/>
    <hyperlink ref="O59" r:id="rId35" location="/screens/308956363 "/>
    <hyperlink ref="O60" r:id="rId36" location="/screens/308956363 "/>
    <hyperlink ref="O70" r:id="rId37" location="/screens/306507649 "/>
    <hyperlink ref="O77" r:id="rId38" location="/screens/306507843 "/>
    <hyperlink ref="O78" r:id="rId39" location="/screens/308721293 "/>
    <hyperlink ref="O74" r:id="rId40" location="/screens/306507844 "/>
    <hyperlink ref="O17" r:id="rId41" location="/screens/306507849 "/>
    <hyperlink ref="O19" r:id="rId42" location="/screens/306507849 "/>
  </hyperlinks>
  <pageMargins left="0.7" right="0.7" top="0.75" bottom="0.75" header="0.3" footer="0.3"/>
  <pageSetup orientation="portrait" r:id="rId43"/>
  <drawing r:id="rId44"/>
  <legacyDrawing r:id="rId45"/>
  <mc:AlternateContent xmlns:mc="http://schemas.openxmlformats.org/markup-compatibility/2006">
    <mc:Choice Requires="x14">
      <controls>
        <mc:AlternateContent xmlns:mc="http://schemas.openxmlformats.org/markup-compatibility/2006">
          <mc:Choice Requires="x14">
            <control shapeId="1025" r:id="rId46" name="Button 1">
              <controlPr defaultSize="0" print="0" autoFill="0" autoPict="0" macro="[0]!Button1_Click">
                <anchor moveWithCells="1" sizeWithCells="1">
                  <from>
                    <xdr:col>15</xdr:col>
                    <xdr:colOff>179614</xdr:colOff>
                    <xdr:row>1</xdr:row>
                    <xdr:rowOff>76200</xdr:rowOff>
                  </from>
                  <to>
                    <xdr:col>16</xdr:col>
                    <xdr:colOff>533400</xdr:colOff>
                    <xdr:row>1</xdr:row>
                    <xdr:rowOff>495300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4"/>
  <sheetViews>
    <sheetView workbookViewId="0">
      <selection activeCell="G3" sqref="G3"/>
    </sheetView>
  </sheetViews>
  <sheetFormatPr defaultRowHeight="14.6" x14ac:dyDescent="0.4"/>
  <cols>
    <col min="1" max="1" width="10.3828125" bestFit="1" customWidth="1"/>
    <col min="2" max="2" width="29.69140625" bestFit="1" customWidth="1"/>
    <col min="6" max="6" width="9.53515625" bestFit="1" customWidth="1"/>
    <col min="7" max="7" width="11.3046875" bestFit="1" customWidth="1"/>
  </cols>
  <sheetData>
    <row r="1" spans="1:7" x14ac:dyDescent="0.4">
      <c r="A1" s="2" t="s">
        <v>256</v>
      </c>
      <c r="B1" s="2" t="s">
        <v>257</v>
      </c>
      <c r="F1" t="s">
        <v>255</v>
      </c>
      <c r="G1" t="s">
        <v>272</v>
      </c>
    </row>
    <row r="2" spans="1:7" x14ac:dyDescent="0.4">
      <c r="A2" t="s">
        <v>258</v>
      </c>
      <c r="B2" t="s">
        <v>259</v>
      </c>
      <c r="F2" t="s">
        <v>273</v>
      </c>
      <c r="G2" t="s">
        <v>272</v>
      </c>
    </row>
    <row r="3" spans="1:7" x14ac:dyDescent="0.4">
      <c r="A3" t="s">
        <v>258</v>
      </c>
      <c r="B3" t="s">
        <v>260</v>
      </c>
      <c r="F3" t="s">
        <v>255</v>
      </c>
    </row>
    <row r="4" spans="1:7" x14ac:dyDescent="0.4">
      <c r="A4" t="s">
        <v>258</v>
      </c>
      <c r="B4" t="s">
        <v>261</v>
      </c>
    </row>
    <row r="5" spans="1:7" x14ac:dyDescent="0.4">
      <c r="A5" t="s">
        <v>258</v>
      </c>
      <c r="B5" t="s">
        <v>262</v>
      </c>
    </row>
    <row r="6" spans="1:7" x14ac:dyDescent="0.4">
      <c r="A6" t="s">
        <v>258</v>
      </c>
      <c r="B6" t="s">
        <v>263</v>
      </c>
    </row>
    <row r="7" spans="1:7" x14ac:dyDescent="0.4">
      <c r="A7" t="s">
        <v>258</v>
      </c>
      <c r="B7" t="s">
        <v>264</v>
      </c>
    </row>
    <row r="8" spans="1:7" x14ac:dyDescent="0.4">
      <c r="A8" t="s">
        <v>258</v>
      </c>
      <c r="B8" t="s">
        <v>265</v>
      </c>
    </row>
    <row r="9" spans="1:7" x14ac:dyDescent="0.4">
      <c r="A9" t="s">
        <v>258</v>
      </c>
      <c r="B9" t="s">
        <v>266</v>
      </c>
    </row>
    <row r="10" spans="1:7" x14ac:dyDescent="0.4">
      <c r="A10" t="s">
        <v>258</v>
      </c>
      <c r="B10" t="s">
        <v>267</v>
      </c>
    </row>
    <row r="11" spans="1:7" x14ac:dyDescent="0.4">
      <c r="A11" t="s">
        <v>258</v>
      </c>
      <c r="B11" t="s">
        <v>268</v>
      </c>
    </row>
    <row r="12" spans="1:7" x14ac:dyDescent="0.4">
      <c r="A12" t="s">
        <v>258</v>
      </c>
      <c r="B12" t="s">
        <v>269</v>
      </c>
    </row>
    <row r="14" spans="1:7" x14ac:dyDescent="0.4">
      <c r="A14" s="2" t="s">
        <v>256</v>
      </c>
      <c r="B14" s="2" t="s">
        <v>270</v>
      </c>
    </row>
    <row r="15" spans="1:7" x14ac:dyDescent="0.4">
      <c r="A15" t="s">
        <v>258</v>
      </c>
      <c r="B15" t="s">
        <v>274</v>
      </c>
    </row>
    <row r="16" spans="1:7" x14ac:dyDescent="0.4">
      <c r="A16" t="s">
        <v>258</v>
      </c>
      <c r="B16" t="s">
        <v>275</v>
      </c>
    </row>
    <row r="17" spans="1:2" x14ac:dyDescent="0.4">
      <c r="A17" t="s">
        <v>258</v>
      </c>
      <c r="B17" t="s">
        <v>276</v>
      </c>
    </row>
    <row r="18" spans="1:2" x14ac:dyDescent="0.4">
      <c r="A18" t="s">
        <v>258</v>
      </c>
      <c r="B18" t="s">
        <v>277</v>
      </c>
    </row>
    <row r="19" spans="1:2" x14ac:dyDescent="0.4">
      <c r="A19" t="s">
        <v>258</v>
      </c>
      <c r="B19" t="s">
        <v>278</v>
      </c>
    </row>
    <row r="20" spans="1:2" x14ac:dyDescent="0.4">
      <c r="A20" t="s">
        <v>258</v>
      </c>
      <c r="B20" t="s">
        <v>279</v>
      </c>
    </row>
    <row r="21" spans="1:2" x14ac:dyDescent="0.4">
      <c r="A21" t="s">
        <v>258</v>
      </c>
      <c r="B21" t="s">
        <v>280</v>
      </c>
    </row>
    <row r="22" spans="1:2" x14ac:dyDescent="0.4">
      <c r="A22" t="s">
        <v>258</v>
      </c>
      <c r="B22" t="s">
        <v>266</v>
      </c>
    </row>
    <row r="23" spans="1:2" x14ac:dyDescent="0.4">
      <c r="A23" t="s">
        <v>258</v>
      </c>
      <c r="B23" t="s">
        <v>281</v>
      </c>
    </row>
    <row r="24" spans="1:2" x14ac:dyDescent="0.4">
      <c r="A24" t="s">
        <v>258</v>
      </c>
      <c r="B24" t="s">
        <v>271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
  <sheetViews>
    <sheetView workbookViewId="0">
      <selection activeCell="L9" sqref="L9"/>
    </sheetView>
  </sheetViews>
  <sheetFormatPr defaultRowHeight="14.6" x14ac:dyDescent="0.4"/>
  <cols>
    <col min="1" max="1" width="27.3828125" bestFit="1" customWidth="1"/>
  </cols>
  <sheetData>
    <row r="1" spans="1:1" x14ac:dyDescent="0.4">
      <c r="A1" t="s">
        <v>131</v>
      </c>
    </row>
    <row r="2" spans="1:1" x14ac:dyDescent="0.4">
      <c r="A2" t="s">
        <v>132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B4" sqref="B4"/>
    </sheetView>
  </sheetViews>
  <sheetFormatPr defaultRowHeight="14.6" x14ac:dyDescent="0.4"/>
  <cols>
    <col min="2" max="2" width="15.3046875" customWidth="1"/>
  </cols>
  <sheetData>
    <row r="1" spans="1:2" x14ac:dyDescent="0.4">
      <c r="A1" t="s">
        <v>194</v>
      </c>
      <c r="B1" t="s">
        <v>195</v>
      </c>
    </row>
    <row r="2" spans="1:2" x14ac:dyDescent="0.4">
      <c r="A2" t="s">
        <v>114</v>
      </c>
    </row>
    <row r="3" spans="1:2" x14ac:dyDescent="0.4">
      <c r="A3" t="s">
        <v>115</v>
      </c>
    </row>
    <row r="4" spans="1:2" x14ac:dyDescent="0.4">
      <c r="A4" t="s">
        <v>116</v>
      </c>
    </row>
    <row r="5" spans="1:2" x14ac:dyDescent="0.4">
      <c r="A5" t="s">
        <v>189</v>
      </c>
    </row>
    <row r="6" spans="1:2" x14ac:dyDescent="0.4">
      <c r="A6" t="s">
        <v>193</v>
      </c>
    </row>
    <row r="7" spans="1:2" ht="29.15" x14ac:dyDescent="0.4">
      <c r="A7" t="s">
        <v>165</v>
      </c>
      <c r="B7" s="1" t="s">
        <v>196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2"/>
  <sheetViews>
    <sheetView workbookViewId="0">
      <selection activeCell="F19" sqref="F19"/>
    </sheetView>
  </sheetViews>
  <sheetFormatPr defaultColWidth="9.15234375" defaultRowHeight="14.6" x14ac:dyDescent="0.4"/>
  <cols>
    <col min="1" max="1" width="3" style="6" bestFit="1" customWidth="1"/>
    <col min="2" max="2" width="20.15234375" style="6" bestFit="1" customWidth="1"/>
    <col min="3" max="3" width="36.3046875" style="6" bestFit="1" customWidth="1"/>
    <col min="4" max="5" width="9.15234375" style="6"/>
    <col min="6" max="6" width="28" style="6" bestFit="1" customWidth="1"/>
    <col min="7" max="16384" width="9.15234375" style="6"/>
  </cols>
  <sheetData>
    <row r="1" spans="1:6" s="3" customFormat="1" x14ac:dyDescent="0.4">
      <c r="A1" s="3">
        <f>Sheet1!A82+1</f>
        <v>82</v>
      </c>
      <c r="B1" s="3" t="s">
        <v>192</v>
      </c>
      <c r="C1" s="3" t="s">
        <v>291</v>
      </c>
      <c r="F1" s="4" t="s">
        <v>292</v>
      </c>
    </row>
    <row r="2" spans="1:6" s="3" customFormat="1" x14ac:dyDescent="0.4">
      <c r="A2" s="3">
        <f t="shared" ref="A2:A8" si="0">A1+1</f>
        <v>83</v>
      </c>
      <c r="B2" s="3" t="s">
        <v>213</v>
      </c>
      <c r="C2" s="3" t="s">
        <v>213</v>
      </c>
      <c r="F2" s="3" t="s">
        <v>290</v>
      </c>
    </row>
    <row r="3" spans="1:6" s="3" customFormat="1" x14ac:dyDescent="0.4">
      <c r="A3" s="3">
        <f t="shared" si="0"/>
        <v>84</v>
      </c>
      <c r="B3" s="3" t="s">
        <v>214</v>
      </c>
      <c r="C3" s="3" t="s">
        <v>214</v>
      </c>
      <c r="F3" s="3" t="s">
        <v>289</v>
      </c>
    </row>
    <row r="4" spans="1:6" s="3" customFormat="1" x14ac:dyDescent="0.4">
      <c r="A4" s="3">
        <f t="shared" si="0"/>
        <v>85</v>
      </c>
      <c r="B4" s="3" t="s">
        <v>215</v>
      </c>
      <c r="C4" s="3" t="s">
        <v>215</v>
      </c>
      <c r="F4" s="3" t="s">
        <v>288</v>
      </c>
    </row>
    <row r="5" spans="1:6" s="3" customFormat="1" x14ac:dyDescent="0.4">
      <c r="A5" s="3">
        <f t="shared" si="0"/>
        <v>86</v>
      </c>
      <c r="B5" s="3" t="s">
        <v>247</v>
      </c>
      <c r="C5" s="3" t="s">
        <v>247</v>
      </c>
      <c r="F5" s="3" t="s">
        <v>287</v>
      </c>
    </row>
    <row r="6" spans="1:6" s="3" customFormat="1" x14ac:dyDescent="0.4">
      <c r="A6" s="3">
        <f t="shared" si="0"/>
        <v>87</v>
      </c>
      <c r="B6" s="3" t="s">
        <v>248</v>
      </c>
      <c r="C6" s="3" t="s">
        <v>248</v>
      </c>
      <c r="F6" s="5">
        <v>43266</v>
      </c>
    </row>
    <row r="7" spans="1:6" s="3" customFormat="1" x14ac:dyDescent="0.4">
      <c r="A7" s="3">
        <f t="shared" si="0"/>
        <v>88</v>
      </c>
      <c r="B7" s="3" t="s">
        <v>249</v>
      </c>
      <c r="C7" s="3" t="s">
        <v>249</v>
      </c>
      <c r="F7" s="7" t="s">
        <v>286</v>
      </c>
    </row>
    <row r="8" spans="1:6" s="3" customFormat="1" x14ac:dyDescent="0.4">
      <c r="A8" s="3">
        <f t="shared" si="0"/>
        <v>89</v>
      </c>
      <c r="B8" s="3" t="s">
        <v>250</v>
      </c>
      <c r="C8" s="3" t="s">
        <v>250</v>
      </c>
      <c r="F8" s="7" t="s">
        <v>286</v>
      </c>
    </row>
    <row r="9" spans="1:6" s="3" customFormat="1" x14ac:dyDescent="0.4">
      <c r="B9" s="3" t="s">
        <v>251</v>
      </c>
      <c r="C9" s="3" t="s">
        <v>251</v>
      </c>
      <c r="F9" s="7" t="s">
        <v>285</v>
      </c>
    </row>
    <row r="10" spans="1:6" s="3" customFormat="1" x14ac:dyDescent="0.4">
      <c r="B10" s="3" t="s">
        <v>252</v>
      </c>
      <c r="C10" s="3" t="s">
        <v>252</v>
      </c>
      <c r="F10" s="4" t="s">
        <v>284</v>
      </c>
    </row>
    <row r="11" spans="1:6" s="3" customFormat="1" x14ac:dyDescent="0.4">
      <c r="B11" s="3" t="s">
        <v>253</v>
      </c>
      <c r="C11" s="3" t="s">
        <v>253</v>
      </c>
      <c r="F11" s="3" t="s">
        <v>283</v>
      </c>
    </row>
    <row r="12" spans="1:6" s="3" customFormat="1" x14ac:dyDescent="0.4">
      <c r="B12" s="3" t="s">
        <v>254</v>
      </c>
      <c r="C12" s="3" t="s">
        <v>254</v>
      </c>
      <c r="F12" s="3" t="s">
        <v>282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4D35D49B722B14285C29AE9943CD65D" ma:contentTypeVersion="8" ma:contentTypeDescription="Create a new document." ma:contentTypeScope="" ma:versionID="d304e63ae86cf25511954feb978d2376">
  <xsd:schema xmlns:xsd="http://www.w3.org/2001/XMLSchema" xmlns:xs="http://www.w3.org/2001/XMLSchema" xmlns:p="http://schemas.microsoft.com/office/2006/metadata/properties" xmlns:ns2="f4a3f708-afb0-42e4-be61-971f746d3b8c" xmlns:ns3="00bc696e-9c10-4ae2-92c0-734f7def923e" targetNamespace="http://schemas.microsoft.com/office/2006/metadata/properties" ma:root="true" ma:fieldsID="737aa843719840713f6fac2454972e28" ns2:_="" ns3:_="">
    <xsd:import namespace="f4a3f708-afb0-42e4-be61-971f746d3b8c"/>
    <xsd:import namespace="00bc696e-9c10-4ae2-92c0-734f7def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a3f708-afb0-42e4-be61-971f746d3b8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internalName="MediaServiceAutoTags" ma:readOnly="true">
      <xsd:simpleType>
        <xsd:restriction base="dms:Text"/>
      </xsd:simpleType>
    </xsd:element>
    <xsd:element name="MediaServiceLocation" ma:index="14" nillable="true" ma:displayName="MediaServiceLoca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0bc696e-9c10-4ae2-92c0-734f7def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A261528-2037-4A0B-84D2-E3482CA812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a3f708-afb0-42e4-be61-971f746d3b8c"/>
    <ds:schemaRef ds:uri="00bc696e-9c10-4ae2-92c0-734f7def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B8D75F0-F00D-43DD-AD08-76A99420CCB3}">
  <ds:schemaRefs>
    <ds:schemaRef ds:uri="http://schemas.microsoft.com/sharepoint/v3/contenttype/forms"/>
  </ds:schemaRefs>
</ds:datastoreItem>
</file>

<file path=customXml/itemProps3.xml><?xml version="1.0" encoding="utf-8"?>
<ds:datastoreItem xmlns:ds="http://schemas.openxmlformats.org/officeDocument/2006/customXml" ds:itemID="{658A5851-B21F-4DC4-B998-F95A3D86107B}">
  <ds:schemaRefs>
    <ds:schemaRef ds:uri="http://purl.org/dc/elements/1.1/"/>
    <ds:schemaRef ds:uri="http://schemas.microsoft.com/office/2006/metadata/properties"/>
    <ds:schemaRef ds:uri="http://schemas.microsoft.com/office/2006/documentManagement/types"/>
    <ds:schemaRef ds:uri="00bc696e-9c10-4ae2-92c0-734f7def923e"/>
    <ds:schemaRef ds:uri="http://purl.org/dc/dcmitype/"/>
    <ds:schemaRef ds:uri="http://schemas.microsoft.com/office/infopath/2007/PartnerControls"/>
    <ds:schemaRef ds:uri="f4a3f708-afb0-42e4-be61-971f746d3b8c"/>
    <ds:schemaRef ds:uri="http://schemas.openxmlformats.org/package/2006/metadata/core-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Covno UI</vt:lpstr>
      <vt:lpstr>Sheet3</vt:lpstr>
      <vt:lpstr>Entities</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2018-07-18T02:42:12Z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0x01010084D35D49B722B14285C29AE9943CD65D</vt:lpwstr>
  </property>
</Properties>
</file>